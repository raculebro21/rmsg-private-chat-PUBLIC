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pamericas.sharepoint.com/sites/WorkSpaces/marketing/Market Reports/2021/"/>
    </mc:Choice>
  </mc:AlternateContent>
  <xr:revisionPtr revIDLastSave="41" documentId="13_ncr:1_{17EDA040-5C0E-479B-A575-AC9207B313DA}" xr6:coauthVersionLast="47" xr6:coauthVersionMax="47" xr10:uidLastSave="{39DB0105-A704-4F8F-9356-676B9A847139}"/>
  <bookViews>
    <workbookView xWindow="-98" yWindow="-98" windowWidth="20715" windowHeight="13155" xr2:uid="{F63D63A3-C3F9-422B-B0B0-119FB5C22E0B}"/>
  </bookViews>
  <sheets>
    <sheet name="DONE DEALS" sheetId="1" r:id="rId1"/>
    <sheet name="AVAILABLE" sheetId="2" r:id="rId2"/>
    <sheet name="UNDERCONSTRUCTION" sheetId="3" r:id="rId3"/>
    <sheet name="PRIVATE OWNERS" sheetId="4" r:id="rId4"/>
    <sheet name="LAND" sheetId="5" r:id="rId5"/>
    <sheet name="MARKET SHARE" sheetId="6" r:id="rId6"/>
    <sheet name="PROYECTOS FUTUROS" sheetId="7" r:id="rId7"/>
  </sheets>
  <definedNames>
    <definedName name="_xlnm._FilterDatabase" localSheetId="1" hidden="1">AVAILABLE!$A$4:$K$91</definedName>
    <definedName name="_xlnm._FilterDatabase" localSheetId="0" hidden="1">'DONE DEALS'!$A$4:$P$87</definedName>
    <definedName name="_xlnm._FilterDatabase" localSheetId="2" hidden="1">UNDERCONSTRUCTION!$A$4:$I$24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7" i="2" l="1"/>
  <c r="G77" i="2"/>
  <c r="F32" i="1"/>
  <c r="G86" i="1"/>
  <c r="G83" i="1"/>
  <c r="G72" i="1"/>
  <c r="G67" i="1"/>
  <c r="G59" i="1"/>
  <c r="G55" i="1"/>
  <c r="G51" i="1"/>
  <c r="G41" i="1"/>
  <c r="I37" i="2"/>
  <c r="I48" i="2"/>
  <c r="I54" i="2"/>
  <c r="I61" i="2"/>
  <c r="I74" i="2"/>
  <c r="F16" i="3"/>
  <c r="F23" i="3"/>
  <c r="F43" i="3"/>
  <c r="G43" i="3"/>
  <c r="G23" i="3"/>
  <c r="G16" i="3"/>
  <c r="F10" i="3"/>
  <c r="F21" i="3"/>
  <c r="F37" i="3"/>
  <c r="F12" i="3"/>
  <c r="F15" i="4" l="1"/>
  <c r="F38" i="1"/>
  <c r="F82" i="1"/>
  <c r="F7" i="3"/>
  <c r="F31" i="1" l="1"/>
  <c r="G31" i="2"/>
  <c r="F31" i="2"/>
  <c r="G73" i="2" l="1"/>
  <c r="F73" i="2"/>
  <c r="F53" i="2"/>
  <c r="G53" i="2"/>
  <c r="F52" i="2"/>
  <c r="G52" i="2"/>
  <c r="F19" i="2"/>
  <c r="G19" i="2"/>
  <c r="F71" i="1" l="1"/>
  <c r="F21" i="1"/>
  <c r="F20" i="1"/>
  <c r="F49" i="1"/>
  <c r="F24" i="1"/>
  <c r="G36" i="2" l="1"/>
  <c r="F36" i="2"/>
  <c r="F66" i="1"/>
  <c r="F40" i="1"/>
  <c r="F64" i="1"/>
  <c r="F10" i="2" l="1"/>
  <c r="G10" i="2"/>
  <c r="F9" i="3"/>
  <c r="F54" i="1"/>
  <c r="F23" i="1" l="1"/>
  <c r="F22" i="1"/>
  <c r="F30" i="1" l="1"/>
  <c r="F6" i="3" l="1"/>
  <c r="F7" i="1"/>
  <c r="F63" i="1" l="1"/>
  <c r="F15" i="3" l="1"/>
  <c r="F14" i="3"/>
  <c r="F6" i="2"/>
  <c r="G6" i="2"/>
  <c r="F8" i="1" l="1"/>
  <c r="F58" i="1" l="1"/>
  <c r="F39" i="1"/>
  <c r="F50" i="1"/>
  <c r="F81" i="1"/>
  <c r="F37" i="1"/>
  <c r="F36" i="1"/>
  <c r="F43" i="1" l="1"/>
  <c r="F11" i="3"/>
  <c r="F85" i="1" l="1"/>
  <c r="F86" i="1" s="1"/>
  <c r="F80" i="1"/>
  <c r="G9" i="4" l="1"/>
  <c r="H15" i="4"/>
  <c r="F45" i="1"/>
  <c r="F79" i="1"/>
  <c r="F78" i="1"/>
  <c r="F57" i="2"/>
  <c r="G57" i="2"/>
  <c r="F58" i="2"/>
  <c r="G58" i="2"/>
  <c r="F47" i="1"/>
  <c r="F46" i="1"/>
  <c r="F17" i="1"/>
  <c r="F29" i="1"/>
  <c r="F28" i="1"/>
  <c r="F27" i="1"/>
  <c r="F26" i="1"/>
  <c r="F25" i="1"/>
  <c r="C8" i="6" l="1"/>
  <c r="G30" i="2" l="1"/>
  <c r="F30" i="2"/>
  <c r="F40" i="3"/>
  <c r="F16" i="1"/>
  <c r="F61" i="1" l="1"/>
  <c r="F62" i="1"/>
  <c r="F11" i="1"/>
  <c r="G60" i="2"/>
  <c r="F60" i="2"/>
  <c r="G26" i="2"/>
  <c r="F26" i="2"/>
  <c r="F19" i="1"/>
  <c r="F12" i="1"/>
  <c r="F77" i="1"/>
  <c r="F83" i="1" s="1"/>
  <c r="G84" i="2"/>
  <c r="F84" i="2"/>
  <c r="G83" i="2"/>
  <c r="F83" i="2"/>
  <c r="G82" i="2"/>
  <c r="F82" i="2"/>
  <c r="F70" i="2"/>
  <c r="G70" i="2"/>
  <c r="G6" i="7"/>
  <c r="G5" i="7"/>
  <c r="F41" i="3" l="1"/>
  <c r="G86" i="2"/>
  <c r="F86" i="2"/>
  <c r="G35" i="2"/>
  <c r="F35" i="2"/>
  <c r="F35" i="1"/>
  <c r="F6" i="1" l="1"/>
  <c r="F15" i="1"/>
  <c r="F14" i="1"/>
  <c r="F9" i="1"/>
  <c r="F65" i="1"/>
  <c r="F67" i="1" s="1"/>
  <c r="F10" i="1"/>
  <c r="F25" i="2" l="1"/>
  <c r="G25" i="2" l="1"/>
  <c r="G18" i="2"/>
  <c r="F18" i="2"/>
  <c r="G17" i="2"/>
  <c r="F17" i="2"/>
  <c r="G12" i="7"/>
  <c r="G16" i="2"/>
  <c r="F16" i="2"/>
  <c r="B40" i="6" l="1"/>
  <c r="C21" i="6" s="1"/>
  <c r="C12" i="6" l="1"/>
  <c r="C13" i="6"/>
  <c r="C35" i="6"/>
  <c r="C34" i="6"/>
  <c r="C10" i="6"/>
  <c r="C39" i="6"/>
  <c r="C32" i="6"/>
  <c r="C31" i="6"/>
  <c r="C33" i="6"/>
  <c r="C6" i="6"/>
  <c r="C5" i="6"/>
  <c r="C7" i="6"/>
  <c r="C19" i="6"/>
  <c r="C24" i="6"/>
  <c r="C38" i="6"/>
  <c r="C25" i="6"/>
  <c r="C37" i="6"/>
  <c r="C15" i="6"/>
  <c r="C29" i="6"/>
  <c r="C28" i="6"/>
  <c r="C26" i="6"/>
  <c r="C14" i="6"/>
  <c r="C11" i="6"/>
  <c r="C16" i="6"/>
  <c r="C17" i="6"/>
  <c r="C18" i="6"/>
  <c r="C20" i="6"/>
  <c r="C22" i="6"/>
  <c r="C23" i="6"/>
  <c r="C30" i="6"/>
  <c r="C9" i="6"/>
  <c r="C27" i="6"/>
  <c r="C36" i="6"/>
  <c r="C40" i="6" l="1"/>
  <c r="F13" i="1" l="1"/>
  <c r="F8" i="3"/>
  <c r="F70" i="1"/>
  <c r="F34" i="1"/>
  <c r="F57" i="1" l="1"/>
  <c r="F59" i="1" s="1"/>
  <c r="F33" i="1"/>
  <c r="F22" i="3" l="1"/>
  <c r="F18" i="1"/>
  <c r="F41" i="1" s="1"/>
  <c r="F48" i="1"/>
  <c r="F53" i="1" l="1"/>
  <c r="F55" i="1" s="1"/>
  <c r="F44" i="1" l="1"/>
  <c r="F51" i="1" s="1"/>
  <c r="F69" i="1"/>
  <c r="F72" i="1" s="1"/>
  <c r="G75" i="1"/>
  <c r="G87" i="1" s="1"/>
  <c r="G41" i="2" l="1"/>
  <c r="G42" i="2"/>
  <c r="F41" i="2"/>
  <c r="F42" i="2"/>
  <c r="F42" i="3" l="1"/>
  <c r="G9" i="2" l="1"/>
  <c r="F9" i="2"/>
  <c r="G14" i="2" l="1"/>
  <c r="F14" i="2"/>
  <c r="F56" i="2" l="1"/>
  <c r="G56" i="2"/>
  <c r="F59" i="2" l="1"/>
  <c r="G59" i="2"/>
  <c r="G32" i="2" l="1"/>
  <c r="F32" i="2"/>
  <c r="G80" i="2" l="1"/>
  <c r="F80" i="2"/>
  <c r="G72" i="2" l="1"/>
  <c r="F72" i="2"/>
  <c r="F40" i="2" l="1"/>
  <c r="G40" i="2"/>
  <c r="G38" i="3" l="1"/>
  <c r="I90" i="2" l="1"/>
  <c r="G29" i="2" l="1"/>
  <c r="F29" i="2"/>
  <c r="G28" i="2"/>
  <c r="F28" i="2"/>
  <c r="G27" i="2"/>
  <c r="F27" i="2"/>
  <c r="F81" i="2"/>
  <c r="F79" i="2"/>
  <c r="G81" i="2"/>
  <c r="G79" i="2"/>
  <c r="F75" i="1" l="1"/>
  <c r="F13" i="3" l="1"/>
  <c r="G50" i="2" l="1"/>
  <c r="F50" i="2"/>
  <c r="G26" i="3" l="1"/>
  <c r="F38" i="3" l="1"/>
  <c r="I87" i="2"/>
  <c r="G19" i="3" l="1"/>
  <c r="F76" i="2" l="1"/>
  <c r="G76" i="2"/>
  <c r="F78" i="2" l="1"/>
  <c r="G78" i="2"/>
  <c r="F19" i="3"/>
  <c r="G39" i="2"/>
  <c r="F39" i="2"/>
  <c r="F51" i="2" l="1"/>
  <c r="G51" i="2"/>
  <c r="I67" i="2" l="1"/>
  <c r="F87" i="1" l="1"/>
  <c r="G47" i="2" l="1"/>
  <c r="F47" i="2"/>
  <c r="G13" i="2" l="1"/>
  <c r="F13" i="2"/>
  <c r="G35" i="3" l="1"/>
  <c r="F35" i="3"/>
  <c r="G32" i="3"/>
  <c r="F32" i="3"/>
  <c r="G29" i="3"/>
  <c r="F29" i="3"/>
  <c r="F26" i="3"/>
  <c r="G89" i="2"/>
  <c r="F89" i="2"/>
  <c r="G85" i="2"/>
  <c r="F85" i="2"/>
  <c r="G71" i="2"/>
  <c r="F71" i="2"/>
  <c r="G69" i="2"/>
  <c r="F69" i="2"/>
  <c r="I64" i="2"/>
  <c r="G46" i="2"/>
  <c r="F46" i="2"/>
  <c r="G45" i="2"/>
  <c r="F45" i="2"/>
  <c r="G44" i="2"/>
  <c r="F44" i="2"/>
  <c r="G43" i="2"/>
  <c r="F43" i="2"/>
  <c r="G34" i="2"/>
  <c r="F34" i="2"/>
  <c r="G33" i="2"/>
  <c r="F33" i="2"/>
  <c r="G24" i="2"/>
  <c r="F24" i="2"/>
  <c r="G23" i="2"/>
  <c r="F23" i="2"/>
  <c r="G22" i="2"/>
  <c r="F22" i="2"/>
  <c r="G21" i="2"/>
  <c r="F21" i="2"/>
  <c r="G20" i="2"/>
  <c r="F20" i="2"/>
  <c r="G15" i="2"/>
  <c r="F15" i="2"/>
  <c r="G12" i="2"/>
  <c r="F12" i="2"/>
  <c r="G11" i="2"/>
  <c r="F11" i="2"/>
  <c r="G8" i="2"/>
  <c r="F8" i="2"/>
  <c r="G7" i="2"/>
  <c r="F7" i="2"/>
  <c r="G44" i="3" l="1"/>
  <c r="I91" i="2"/>
  <c r="F44" i="3"/>
  <c r="H10" i="7" l="1"/>
  <c r="H9" i="7"/>
  <c r="H8" i="7"/>
  <c r="H7" i="7"/>
  <c r="H12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Claudia Hernandez</author>
  </authors>
  <commentList>
    <comment ref="L4" authorId="0" shapeId="0" xr:uid="{386B1E64-EEDA-44D2-9CC1-2E14BD62BAE6}">
      <text>
        <r>
          <rPr>
            <b/>
            <sz val="9"/>
            <color indexed="81"/>
            <rFont val="Tahoma"/>
            <family val="2"/>
          </rPr>
          <t>Claudia Hernandez:</t>
        </r>
        <r>
          <rPr>
            <sz val="9"/>
            <color indexed="81"/>
            <rFont val="Tahoma"/>
            <family val="2"/>
          </rPr>
          <t xml:space="preserve">
Logistica
Distribucion
Manufactura
</t>
        </r>
      </text>
    </comment>
    <comment ref="M4" authorId="0" shapeId="0" xr:uid="{8CFEB239-08BC-4704-96B5-C586960F7200}">
      <text>
        <r>
          <rPr>
            <b/>
            <sz val="9"/>
            <color indexed="81"/>
            <rFont val="Tahoma"/>
            <family val="2"/>
          </rPr>
          <t>Claudia Hernandez:</t>
        </r>
        <r>
          <rPr>
            <sz val="9"/>
            <color indexed="81"/>
            <rFont val="Tahoma"/>
            <family val="2"/>
          </rPr>
          <t xml:space="preserve">
Nuevo
Expansion
Relocalizacion
varias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Alejandra Enríquez Guajardo</author>
    <author>Martha Alejandra Enríquez Guajardo</author>
  </authors>
  <commentList>
    <comment ref="I7" authorId="0" shapeId="0" xr:uid="{C2A22D88-C944-4B45-A657-75B3598BFC57}">
      <text>
        <r>
          <rPr>
            <b/>
            <sz val="9"/>
            <color indexed="81"/>
            <rFont val="Tahoma"/>
            <family val="2"/>
          </rPr>
          <t>Alejandra Enríquez Guajardo:</t>
        </r>
        <r>
          <rPr>
            <sz val="9"/>
            <color indexed="81"/>
            <rFont val="Tahoma"/>
            <family val="2"/>
          </rPr>
          <t xml:space="preserve">
8,000 mts con Polytech</t>
        </r>
      </text>
    </comment>
    <comment ref="I8" authorId="0" shapeId="0" xr:uid="{FBE07BDD-3F45-41C3-A6F8-2DCEF25F0B96}">
      <text>
        <r>
          <rPr>
            <b/>
            <sz val="9"/>
            <color indexed="81"/>
            <rFont val="Tahoma"/>
            <family val="2"/>
          </rPr>
          <t>Alejandra Enríquez Guajardo:</t>
        </r>
        <r>
          <rPr>
            <sz val="9"/>
            <color indexed="81"/>
            <rFont val="Tahoma"/>
            <family val="2"/>
          </rPr>
          <t xml:space="preserve">
Rosenberger 43,056 sf
Rosenberger 75,348 sf</t>
        </r>
      </text>
    </comment>
    <comment ref="I9" authorId="0" shapeId="0" xr:uid="{9FFE4ACA-28E2-4ABA-B8C8-8DE22C01F7A5}">
      <text>
        <r>
          <rPr>
            <b/>
            <sz val="9"/>
            <color indexed="81"/>
            <rFont val="Tahoma"/>
            <family val="2"/>
          </rPr>
          <t>Alejandra Enríquez Guajardo:</t>
        </r>
        <r>
          <rPr>
            <sz val="9"/>
            <color indexed="81"/>
            <rFont val="Tahoma"/>
            <family val="2"/>
          </rPr>
          <t xml:space="preserve">
Panduit 83,851 sf</t>
        </r>
      </text>
    </comment>
    <comment ref="I13" authorId="1" shapeId="0" xr:uid="{BFABE4C6-9454-40F2-B786-BFB0C8BB68E2}">
      <text>
        <r>
          <rPr>
            <b/>
            <sz val="9"/>
            <color indexed="81"/>
            <rFont val="Tahoma"/>
            <family val="2"/>
          </rPr>
          <t>Martha Alejandra Enríquez Guajardo:</t>
        </r>
        <r>
          <rPr>
            <sz val="9"/>
            <color indexed="81"/>
            <rFont val="Tahoma"/>
            <family val="2"/>
          </rPr>
          <t xml:space="preserve">
Basicos Partes y Acabados 82,500</t>
        </r>
      </text>
    </comment>
    <comment ref="I16" authorId="0" shapeId="0" xr:uid="{97DDC186-2805-490A-9AAC-713D6422285D}">
      <text>
        <r>
          <rPr>
            <b/>
            <sz val="9"/>
            <color indexed="81"/>
            <rFont val="Tahoma"/>
            <family val="2"/>
          </rPr>
          <t>Alejandra Enríquez Guajardo:</t>
        </r>
        <r>
          <rPr>
            <sz val="9"/>
            <color indexed="81"/>
            <rFont val="Tahoma"/>
            <family val="2"/>
          </rPr>
          <t xml:space="preserve">
75,000 sf Franklin Electric</t>
        </r>
      </text>
    </comment>
    <comment ref="I24" authorId="0" shapeId="0" xr:uid="{6711E1A1-1C12-4DB6-B942-CA57CCAD13EE}">
      <text>
        <r>
          <rPr>
            <b/>
            <sz val="9"/>
            <color indexed="81"/>
            <rFont val="Tahoma"/>
            <family val="2"/>
          </rPr>
          <t>Alejandra Enríquez Guajardo:</t>
        </r>
        <r>
          <rPr>
            <sz val="9"/>
            <color indexed="81"/>
            <rFont val="Tahoma"/>
            <family val="2"/>
          </rPr>
          <t xml:space="preserve">
14,015 sf Seccion 3 - Confidencial</t>
        </r>
      </text>
    </comment>
    <comment ref="I31" authorId="0" shapeId="0" xr:uid="{5960989F-84E6-4C6C-AD0F-ED2A46EA1249}">
      <text>
        <r>
          <rPr>
            <b/>
            <sz val="9"/>
            <color indexed="81"/>
            <rFont val="Tahoma"/>
            <family val="2"/>
          </rPr>
          <t>Alejandra Enríquez Guajardo:</t>
        </r>
        <r>
          <rPr>
            <sz val="9"/>
            <color indexed="81"/>
            <rFont val="Tahoma"/>
            <family val="2"/>
          </rPr>
          <t xml:space="preserve">
119,600 sqft Celestica</t>
        </r>
      </text>
    </comment>
    <comment ref="I34" authorId="0" shapeId="0" xr:uid="{2F1BD656-8A21-4CD1-AEE2-41FDA42E0818}">
      <text>
        <r>
          <rPr>
            <b/>
            <sz val="9"/>
            <color indexed="81"/>
            <rFont val="Tahoma"/>
            <family val="2"/>
          </rPr>
          <t>Alejandra Enríquez Guajardo:</t>
        </r>
        <r>
          <rPr>
            <sz val="9"/>
            <color indexed="81"/>
            <rFont val="Tahoma"/>
            <family val="2"/>
          </rPr>
          <t xml:space="preserve">
26,038 sf de Suspensys
18,164 sf de Unico Logistics
14,800 sf de Hexagon
18,164 sf de Bodor</t>
        </r>
      </text>
    </comment>
    <comment ref="I39" authorId="0" shapeId="0" xr:uid="{F874270D-BE00-48F6-B0D1-C639D863446E}">
      <text>
        <r>
          <rPr>
            <b/>
            <sz val="9"/>
            <color indexed="81"/>
            <rFont val="Tahoma"/>
            <family val="2"/>
          </rPr>
          <t>Alejandra Enríquez Guajardo:</t>
        </r>
        <r>
          <rPr>
            <sz val="9"/>
            <color indexed="81"/>
            <rFont val="Tahoma"/>
            <family val="2"/>
          </rPr>
          <t xml:space="preserve">
70,242 sf de Kus</t>
        </r>
      </text>
    </comment>
    <comment ref="I43" authorId="0" shapeId="0" xr:uid="{EDCF855A-15A1-4895-A4C8-935B2F865054}">
      <text>
        <r>
          <rPr>
            <b/>
            <sz val="9"/>
            <color indexed="81"/>
            <rFont val="Tahoma"/>
            <family val="2"/>
          </rPr>
          <t>Alejandra Enríquez Guajardo:</t>
        </r>
        <r>
          <rPr>
            <sz val="9"/>
            <color indexed="81"/>
            <rFont val="Tahoma"/>
            <family val="2"/>
          </rPr>
          <t xml:space="preserve">
34,811 sf TLTerminals</t>
        </r>
      </text>
    </comment>
    <comment ref="I50" authorId="0" shapeId="0" xr:uid="{344ED289-B272-433D-8020-394CB7240164}">
      <text>
        <r>
          <rPr>
            <b/>
            <sz val="9"/>
            <color indexed="81"/>
            <rFont val="Tahoma"/>
            <family val="2"/>
          </rPr>
          <t>Alejandra Enríquez Guajardo:</t>
        </r>
        <r>
          <rPr>
            <sz val="9"/>
            <color indexed="81"/>
            <rFont val="Tahoma"/>
            <family val="2"/>
          </rPr>
          <t xml:space="preserve">
60,268 sf de IDL</t>
        </r>
      </text>
    </comment>
    <comment ref="I56" authorId="0" shapeId="0" xr:uid="{CED56EA4-3460-4329-94FC-3D548C052C05}">
      <text>
        <r>
          <rPr>
            <b/>
            <sz val="9"/>
            <color indexed="81"/>
            <rFont val="Tahoma"/>
            <family val="2"/>
          </rPr>
          <t>Alejandra Enríquez Guajardo:</t>
        </r>
        <r>
          <rPr>
            <sz val="9"/>
            <color indexed="81"/>
            <rFont val="Tahoma"/>
            <family val="2"/>
          </rPr>
          <t xml:space="preserve">
231,000 sqft Lego</t>
        </r>
      </text>
    </comment>
    <comment ref="I63" authorId="1" shapeId="0" xr:uid="{21A9DF70-0AF5-4A86-924E-45C1296304FE}">
      <text>
        <r>
          <rPr>
            <b/>
            <sz val="9"/>
            <color indexed="81"/>
            <rFont val="Tahoma"/>
            <family val="2"/>
          </rPr>
          <t>Martha Alejandra Enríquez Guajardo
Confidencial cerró 35,112 sf</t>
        </r>
      </text>
    </comment>
    <comment ref="I81" authorId="0" shapeId="0" xr:uid="{1F8CD7DC-3659-48E7-B30A-CA31C61252A7}">
      <text>
        <r>
          <rPr>
            <b/>
            <sz val="9"/>
            <color indexed="81"/>
            <rFont val="Tahoma"/>
            <family val="2"/>
          </rPr>
          <t>Alejandra Enríquez Guajardo:</t>
        </r>
        <r>
          <rPr>
            <sz val="9"/>
            <color indexed="81"/>
            <rFont val="Tahoma"/>
            <family val="2"/>
          </rPr>
          <t xml:space="preserve">
72,580 sf con Sultana
53,561 sf con Tamcas</t>
        </r>
      </text>
    </comment>
  </commentList>
</comments>
</file>

<file path=xl/sharedStrings.xml><?xml version="1.0" encoding="utf-8"?>
<sst xmlns="http://schemas.openxmlformats.org/spreadsheetml/2006/main" count="1549" uniqueCount="506">
  <si>
    <t>MONTERREY MARKET REPORT</t>
  </si>
  <si>
    <t>DONE DEALS 2021</t>
  </si>
  <si>
    <t>SUBMERCADO</t>
  </si>
  <si>
    <t>INQUILINO</t>
  </si>
  <si>
    <t>UBICACIÓN / PARQUE IND</t>
  </si>
  <si>
    <t>DUEÑO</t>
  </si>
  <si>
    <t>S.M.</t>
  </si>
  <si>
    <t>S.F.</t>
  </si>
  <si>
    <t>BTS/ INVENTORY</t>
  </si>
  <si>
    <t>CIERRE</t>
  </si>
  <si>
    <t>BROKER</t>
  </si>
  <si>
    <t>PLAZO</t>
  </si>
  <si>
    <t>TIPO DE NEGOCIO</t>
  </si>
  <si>
    <t>INFORMACION ADICIONAL</t>
  </si>
  <si>
    <t>NACIONALIDAD</t>
  </si>
  <si>
    <t>MONEDA</t>
  </si>
  <si>
    <t>CLASS</t>
  </si>
  <si>
    <t>APODACA</t>
  </si>
  <si>
    <t>Apodaca</t>
  </si>
  <si>
    <t>Dometic</t>
  </si>
  <si>
    <t>American Industries Apodaca</t>
  </si>
  <si>
    <t>American Industries</t>
  </si>
  <si>
    <t>BTS</t>
  </si>
  <si>
    <t>Mar</t>
  </si>
  <si>
    <t>Directo</t>
  </si>
  <si>
    <t>Manufactura</t>
  </si>
  <si>
    <t>Expansión</t>
  </si>
  <si>
    <t>Sueca</t>
  </si>
  <si>
    <t>DLLS</t>
  </si>
  <si>
    <t>A</t>
  </si>
  <si>
    <t>Polaris</t>
  </si>
  <si>
    <t>Jun</t>
  </si>
  <si>
    <t>Americana</t>
  </si>
  <si>
    <t>IBI</t>
  </si>
  <si>
    <t>Avante Aeropuerto</t>
  </si>
  <si>
    <t>Avante</t>
  </si>
  <si>
    <t>Spec 5</t>
  </si>
  <si>
    <t>Citius AG</t>
  </si>
  <si>
    <t>Automotriz</t>
  </si>
  <si>
    <t>Collado</t>
  </si>
  <si>
    <t>Aros Apodaca Santa Rosa</t>
  </si>
  <si>
    <t>Aros Desarrollos (Artemio Garza)</t>
  </si>
  <si>
    <t>Spec III</t>
  </si>
  <si>
    <t>Feb</t>
  </si>
  <si>
    <t>Newmark</t>
  </si>
  <si>
    <t>Mexicana</t>
  </si>
  <si>
    <t>MXP</t>
  </si>
  <si>
    <t>B</t>
  </si>
  <si>
    <t>Rosenberger</t>
  </si>
  <si>
    <t xml:space="preserve">Innova </t>
  </si>
  <si>
    <t>Coexsa</t>
  </si>
  <si>
    <t>Innova 3</t>
  </si>
  <si>
    <t>Ene</t>
  </si>
  <si>
    <t>Alemana</t>
  </si>
  <si>
    <t>Wisdom</t>
  </si>
  <si>
    <t>Milenium Industrial Park</t>
  </si>
  <si>
    <t>MAN 07</t>
  </si>
  <si>
    <t>Abr</t>
  </si>
  <si>
    <t>Logístico</t>
  </si>
  <si>
    <t>Nuevo</t>
  </si>
  <si>
    <t>Panduit</t>
  </si>
  <si>
    <t>Apodaca Technology Park</t>
  </si>
  <si>
    <t>CPA</t>
  </si>
  <si>
    <t>ATP-B019</t>
  </si>
  <si>
    <t>CBRE</t>
  </si>
  <si>
    <t>Cartones Ponderosa</t>
  </si>
  <si>
    <t>Flex Park</t>
  </si>
  <si>
    <t>G Industrial</t>
  </si>
  <si>
    <t>Spec</t>
  </si>
  <si>
    <t>Coldwell Banker</t>
  </si>
  <si>
    <t>PTS</t>
  </si>
  <si>
    <t>B40</t>
  </si>
  <si>
    <t>Prodensa Select</t>
  </si>
  <si>
    <t>Haitian</t>
  </si>
  <si>
    <t>B28</t>
  </si>
  <si>
    <t>China</t>
  </si>
  <si>
    <t>Basal</t>
  </si>
  <si>
    <t>Parque Industrial Monterrey</t>
  </si>
  <si>
    <t>GP Desarrollos</t>
  </si>
  <si>
    <t>MT01 Pimsa</t>
  </si>
  <si>
    <t>Franklin Electric</t>
  </si>
  <si>
    <t>Kronos Industrial Park</t>
  </si>
  <si>
    <t>MT01 Kronos</t>
  </si>
  <si>
    <t>Ceraman</t>
  </si>
  <si>
    <t>Huinala</t>
  </si>
  <si>
    <t>IJL</t>
  </si>
  <si>
    <t>Huinala IV</t>
  </si>
  <si>
    <t>Coreana</t>
  </si>
  <si>
    <t>Guntner</t>
  </si>
  <si>
    <t>Kalos Santa Rosa</t>
  </si>
  <si>
    <t>Kalos</t>
  </si>
  <si>
    <t>KAS 3, 1 al 3</t>
  </si>
  <si>
    <t>Colliers</t>
  </si>
  <si>
    <t>-</t>
  </si>
  <si>
    <t>Del Bravo</t>
  </si>
  <si>
    <t>Kalos Encarnación</t>
  </si>
  <si>
    <t>Edificio 3 Sección 4</t>
  </si>
  <si>
    <t>Jul</t>
  </si>
  <si>
    <t>Empaques Cantu</t>
  </si>
  <si>
    <t>Edificio 3 Sección 5 y 6</t>
  </si>
  <si>
    <t>KET Engineered</t>
  </si>
  <si>
    <t>Kronos</t>
  </si>
  <si>
    <t>MGM</t>
  </si>
  <si>
    <t>Sambo Motors</t>
  </si>
  <si>
    <t>2A</t>
  </si>
  <si>
    <t>Mercado Libre</t>
  </si>
  <si>
    <t>Nexxus Apodaca</t>
  </si>
  <si>
    <t>Nexxus</t>
  </si>
  <si>
    <t>May</t>
  </si>
  <si>
    <t>Vertiv</t>
  </si>
  <si>
    <t>Prologis Park Agua Fria</t>
  </si>
  <si>
    <t>Prologis</t>
  </si>
  <si>
    <t>Agua Fria 3</t>
  </si>
  <si>
    <t>Zebra Pen</t>
  </si>
  <si>
    <t>Prologis Park Apodaca</t>
  </si>
  <si>
    <t>Japonesa</t>
  </si>
  <si>
    <t>Pactiv</t>
  </si>
  <si>
    <t>Agua Fria 1</t>
  </si>
  <si>
    <t>Cushman</t>
  </si>
  <si>
    <t>Expansión / Reubicación</t>
  </si>
  <si>
    <t>Optimas</t>
  </si>
  <si>
    <t>MIC 11</t>
  </si>
  <si>
    <t>Reubicación</t>
  </si>
  <si>
    <t>Celestica</t>
  </si>
  <si>
    <t>Agua Fría 6</t>
  </si>
  <si>
    <t>Canadiense</t>
  </si>
  <si>
    <t>Uline</t>
  </si>
  <si>
    <t>Ago</t>
  </si>
  <si>
    <t>Haldex</t>
  </si>
  <si>
    <t>Monterrey Industrial Center</t>
  </si>
  <si>
    <t>MIC 9</t>
  </si>
  <si>
    <t>Almacen</t>
  </si>
  <si>
    <t>Impulso</t>
  </si>
  <si>
    <t>Prologis Apodaca Industrial Park</t>
  </si>
  <si>
    <t>PPA12</t>
  </si>
  <si>
    <t>Sep</t>
  </si>
  <si>
    <t>Jorge Bermudez</t>
  </si>
  <si>
    <t>Haeng Sung</t>
  </si>
  <si>
    <t>El Sabinal Industrial Park V</t>
  </si>
  <si>
    <t>Savy Capital</t>
  </si>
  <si>
    <t>SPV-01</t>
  </si>
  <si>
    <t>KC Jones</t>
  </si>
  <si>
    <t>El Sabinal Industrial Park</t>
  </si>
  <si>
    <t>SIP-VIII</t>
  </si>
  <si>
    <t>Halo</t>
  </si>
  <si>
    <t>Stiva Aeropuerto</t>
  </si>
  <si>
    <t>Stiva</t>
  </si>
  <si>
    <t>AE-INV-01</t>
  </si>
  <si>
    <t>Británica</t>
  </si>
  <si>
    <t>Anixter</t>
  </si>
  <si>
    <t>INV-R4</t>
  </si>
  <si>
    <t>Pantos</t>
  </si>
  <si>
    <t>AE-INV-03</t>
  </si>
  <si>
    <t>Almer</t>
  </si>
  <si>
    <t>OMA Vynmsa Aero Industrial Park</t>
  </si>
  <si>
    <t>Vynmsa</t>
  </si>
  <si>
    <t>Spec VII - OVAIP</t>
  </si>
  <si>
    <t>MFG</t>
  </si>
  <si>
    <t>LA Silla Apodaca</t>
  </si>
  <si>
    <t>Spec 1</t>
  </si>
  <si>
    <t>TOTAL Apodaca</t>
  </si>
  <si>
    <t>CIENEGA DE FLORES</t>
  </si>
  <si>
    <t>Ciénega de Flores</t>
  </si>
  <si>
    <t>Lego</t>
  </si>
  <si>
    <t>Stand Alone</t>
  </si>
  <si>
    <t>Atecno</t>
  </si>
  <si>
    <t>Danesa</t>
  </si>
  <si>
    <t>True Manufacturing</t>
  </si>
  <si>
    <t>CPA Logistics Center ADN</t>
  </si>
  <si>
    <t>CPAADN-B005</t>
  </si>
  <si>
    <t>Karl Binderberger</t>
  </si>
  <si>
    <t>JCI</t>
  </si>
  <si>
    <t>CPAADN-B013</t>
  </si>
  <si>
    <t>Clarios Johnson Controls</t>
  </si>
  <si>
    <t>Monterrey Technology Park</t>
  </si>
  <si>
    <t>Fibra Macquarie</t>
  </si>
  <si>
    <t>MTY-011</t>
  </si>
  <si>
    <t>Oasis</t>
  </si>
  <si>
    <t>MTY-012</t>
  </si>
  <si>
    <t>Terex</t>
  </si>
  <si>
    <t>El Nacional Industrial Park</t>
  </si>
  <si>
    <t>Fondo 5</t>
  </si>
  <si>
    <t>Meritor</t>
  </si>
  <si>
    <t>Nexxus ADN</t>
  </si>
  <si>
    <t>Lucky Harvest</t>
  </si>
  <si>
    <t>TOTAL Ciénega de Flores</t>
  </si>
  <si>
    <t>MONTERREY</t>
  </si>
  <si>
    <t>Monterrey</t>
  </si>
  <si>
    <t>Neaton</t>
  </si>
  <si>
    <t>Avante Monterrey Industrial Park</t>
  </si>
  <si>
    <t>Roca Desarrollos</t>
  </si>
  <si>
    <t>M06A</t>
  </si>
  <si>
    <t>Quanta Computer</t>
  </si>
  <si>
    <t>M005</t>
  </si>
  <si>
    <t>Taiwanesa</t>
  </si>
  <si>
    <t>TOTAL Monterrey</t>
  </si>
  <si>
    <t>SAN NICOLAS</t>
  </si>
  <si>
    <t>San Nicolás</t>
  </si>
  <si>
    <t>TMM</t>
  </si>
  <si>
    <t>Adhoc Sendero</t>
  </si>
  <si>
    <t>Adhoc</t>
  </si>
  <si>
    <t>Nave E</t>
  </si>
  <si>
    <t>Colliers - Newmark</t>
  </si>
  <si>
    <t>Multi Accesorios</t>
  </si>
  <si>
    <t>Nave B</t>
  </si>
  <si>
    <t>CEDIS</t>
  </si>
  <si>
    <t>TOTAL San Nicolas</t>
  </si>
  <si>
    <t>ESCOBEDO</t>
  </si>
  <si>
    <t>Escobedo</t>
  </si>
  <si>
    <t>Dana</t>
  </si>
  <si>
    <t>Pocket Park Escobedo</t>
  </si>
  <si>
    <t>Brembo</t>
  </si>
  <si>
    <t>Micropark Escobedo</t>
  </si>
  <si>
    <t>Micropark 5-10</t>
  </si>
  <si>
    <t xml:space="preserve">Expansión </t>
  </si>
  <si>
    <t>Italiana</t>
  </si>
  <si>
    <t>Solar Plastics</t>
  </si>
  <si>
    <t>Nexxus Escobedo</t>
  </si>
  <si>
    <t>JLL</t>
  </si>
  <si>
    <t>TLTerminals</t>
  </si>
  <si>
    <t>Puerta del Norte Industrial Park</t>
  </si>
  <si>
    <t>Puerta del Norte</t>
  </si>
  <si>
    <t>Nave 2A</t>
  </si>
  <si>
    <t>Independiente (Jose Quiros)</t>
  </si>
  <si>
    <t>Sisamex</t>
  </si>
  <si>
    <t>Stiva El Jaral</t>
  </si>
  <si>
    <t>Bellota (Project Campus)</t>
  </si>
  <si>
    <t>Vynmsa Escobedo Park II</t>
  </si>
  <si>
    <t>Spec V</t>
  </si>
  <si>
    <t>TOTAL Escobedo</t>
  </si>
  <si>
    <t>GUADALUPE</t>
  </si>
  <si>
    <t>Guadalupe</t>
  </si>
  <si>
    <t>ABT</t>
  </si>
  <si>
    <t>Avante Guadalupe</t>
  </si>
  <si>
    <t>G10</t>
  </si>
  <si>
    <t>Expansión - Hace piezas de metal</t>
  </si>
  <si>
    <t>Yomp</t>
  </si>
  <si>
    <t>Kalos Guadalupe Aeropuerto</t>
  </si>
  <si>
    <t>KGA 8</t>
  </si>
  <si>
    <t>Independiente</t>
  </si>
  <si>
    <t>Linex</t>
  </si>
  <si>
    <t xml:space="preserve">Kalos Guadalupe </t>
  </si>
  <si>
    <t>KG 5</t>
  </si>
  <si>
    <t>TOTAL Guadalpue</t>
  </si>
  <si>
    <t>PESQUERIA</t>
  </si>
  <si>
    <t>Pesquería</t>
  </si>
  <si>
    <t>TOTAL Pesquería</t>
  </si>
  <si>
    <t>Total Pesqueria</t>
  </si>
  <si>
    <t>SANTA CATARINA</t>
  </si>
  <si>
    <t>Santa Catarina</t>
  </si>
  <si>
    <t>International Supply</t>
  </si>
  <si>
    <t>Advance Industrial Park</t>
  </si>
  <si>
    <t>Advance</t>
  </si>
  <si>
    <t>Spec 01B</t>
  </si>
  <si>
    <t>Grupo Ruga</t>
  </si>
  <si>
    <t>AGP Glass</t>
  </si>
  <si>
    <t>Finsa Santa Catarina</t>
  </si>
  <si>
    <t>Finsa</t>
  </si>
  <si>
    <t>Peruana</t>
  </si>
  <si>
    <t>Frigus Bohn</t>
  </si>
  <si>
    <t>Multi IV / BTS</t>
  </si>
  <si>
    <t>Nueva</t>
  </si>
  <si>
    <t>Coflex</t>
  </si>
  <si>
    <t>Stiva Santa Catarina</t>
  </si>
  <si>
    <t>INV-SC-04</t>
  </si>
  <si>
    <t>Trasciende Inmuebles</t>
  </si>
  <si>
    <t>Estafeta</t>
  </si>
  <si>
    <t>INV-SC-R1</t>
  </si>
  <si>
    <t>TOTAL Santa Catarina</t>
  </si>
  <si>
    <t>SALINAS VICTORIA</t>
  </si>
  <si>
    <t>Salinas Victoria</t>
  </si>
  <si>
    <t>Confidencial "M"</t>
  </si>
  <si>
    <t>Interpuerto Monterrey</t>
  </si>
  <si>
    <t>Interpuerto</t>
  </si>
  <si>
    <t>TOTAL Salinas Victoria</t>
  </si>
  <si>
    <t>TOTAL</t>
  </si>
  <si>
    <t>AVAILABLE BUILDINGS</t>
  </si>
  <si>
    <t>EDIFICIO</t>
  </si>
  <si>
    <t>UBICACIÓN</t>
  </si>
  <si>
    <t>AREA TOTAL S.M.</t>
  </si>
  <si>
    <t>AREA DISPONIBLE S.M</t>
  </si>
  <si>
    <t>TOTAL SF</t>
  </si>
  <si>
    <t>DISPONIBLE SF</t>
  </si>
  <si>
    <t>CLASE</t>
  </si>
  <si>
    <t>AP06</t>
  </si>
  <si>
    <t>Avante Airport Industrial Park</t>
  </si>
  <si>
    <t>Nave 2</t>
  </si>
  <si>
    <t>Milenium Agua Fría</t>
  </si>
  <si>
    <t>Milenium Innova</t>
  </si>
  <si>
    <t xml:space="preserve">Coexsa </t>
  </si>
  <si>
    <t>CPAAPO-B009</t>
  </si>
  <si>
    <t>CPA Business Center Apodaca</t>
  </si>
  <si>
    <t>MTY-31</t>
  </si>
  <si>
    <t>MTY-05</t>
  </si>
  <si>
    <t>Finsa Monterrey</t>
  </si>
  <si>
    <t>XXVII-B (MIC 5)</t>
  </si>
  <si>
    <t>Prologis Monterrey Industrial Center</t>
  </si>
  <si>
    <t>Nave 1</t>
  </si>
  <si>
    <t>Fase 1 y Fase 2</t>
  </si>
  <si>
    <t>G Induistrial</t>
  </si>
  <si>
    <t>Apodaca II</t>
  </si>
  <si>
    <t>Parque Industrial La Silla</t>
  </si>
  <si>
    <t>IGS</t>
  </si>
  <si>
    <t>Huinala V</t>
  </si>
  <si>
    <t>KA 7 Sec. 2</t>
  </si>
  <si>
    <t>Kalos Apodaca</t>
  </si>
  <si>
    <t>KAS 1, 1 al 8</t>
  </si>
  <si>
    <t>Kalos Apodaca Santa Rosa</t>
  </si>
  <si>
    <t>KAS 4, 1 al 4</t>
  </si>
  <si>
    <t>KAS 5, 1 al 3</t>
  </si>
  <si>
    <t>KAS 6, 1 al 3</t>
  </si>
  <si>
    <t>KH 1 Sec. 2A</t>
  </si>
  <si>
    <t>Kalos Huinala</t>
  </si>
  <si>
    <t>GDS Industrial Park</t>
  </si>
  <si>
    <t>Luis Lauro</t>
  </si>
  <si>
    <t>Spec 2</t>
  </si>
  <si>
    <t>Nave 531</t>
  </si>
  <si>
    <t>Parque Industrial Martel</t>
  </si>
  <si>
    <t>Martel</t>
  </si>
  <si>
    <t>Nave 530 &amp; 541</t>
  </si>
  <si>
    <t>Nave 561</t>
  </si>
  <si>
    <t>Agua Fría 2</t>
  </si>
  <si>
    <t>Prologis Agua Fría</t>
  </si>
  <si>
    <t>INV R1</t>
  </si>
  <si>
    <t xml:space="preserve">Stiva Aeropuerto </t>
  </si>
  <si>
    <t>INV-AE-02</t>
  </si>
  <si>
    <t>OWH-3</t>
  </si>
  <si>
    <t>OWH-1</t>
  </si>
  <si>
    <t>Spec VI</t>
  </si>
  <si>
    <t>Vynmsa Aeropuerto Apodaca</t>
  </si>
  <si>
    <t>MTY019</t>
  </si>
  <si>
    <t>Nexxus Escobedo Industrial Center</t>
  </si>
  <si>
    <t>MTY026</t>
  </si>
  <si>
    <t>Escobedo I</t>
  </si>
  <si>
    <t>Libramiento Norte Mty</t>
  </si>
  <si>
    <t>Escobedo II</t>
  </si>
  <si>
    <t>Parque Industrial Libramiento</t>
  </si>
  <si>
    <t>Particular</t>
  </si>
  <si>
    <t>Nave 4</t>
  </si>
  <si>
    <t>Spec IV</t>
  </si>
  <si>
    <t>San Nicolas</t>
  </si>
  <si>
    <t>KSN 5, Sec. 6-10</t>
  </si>
  <si>
    <t>Kalos San Nicolas</t>
  </si>
  <si>
    <t>C</t>
  </si>
  <si>
    <t>KSN 4, Sec. 4</t>
  </si>
  <si>
    <t>KSN 4, Sec. 5</t>
  </si>
  <si>
    <t>Cienega de Flores</t>
  </si>
  <si>
    <t>HSAC Industrial Park</t>
  </si>
  <si>
    <t>HSAC</t>
  </si>
  <si>
    <t>MTY WS 01 Bldg 390</t>
  </si>
  <si>
    <t>Intermex</t>
  </si>
  <si>
    <t>Edificio 4</t>
  </si>
  <si>
    <t>Diamante Cienega de Flores I</t>
  </si>
  <si>
    <t>Tredec</t>
  </si>
  <si>
    <t>La Silla Guadalupe</t>
  </si>
  <si>
    <t>Ciesa</t>
  </si>
  <si>
    <t>XIII</t>
  </si>
  <si>
    <t>Finsa Guadalupe</t>
  </si>
  <si>
    <t>FUNO</t>
  </si>
  <si>
    <t>KG 17</t>
  </si>
  <si>
    <t>Kalos Guadalupe</t>
  </si>
  <si>
    <t>Specs</t>
  </si>
  <si>
    <t>Conekta Business Park</t>
  </si>
  <si>
    <t>Particular (Familia Iglesias)</t>
  </si>
  <si>
    <t>Acueducto Industrial Park</t>
  </si>
  <si>
    <t>Spec 01A</t>
  </si>
  <si>
    <t>Nave 05</t>
  </si>
  <si>
    <t>AVIA Industrial Park</t>
  </si>
  <si>
    <t>AVIA</t>
  </si>
  <si>
    <t>MSC N5</t>
  </si>
  <si>
    <t>Milenium Santa Catarina</t>
  </si>
  <si>
    <t>Multi II</t>
  </si>
  <si>
    <t>Finsa Santa Catarina I</t>
  </si>
  <si>
    <t>Multi III</t>
  </si>
  <si>
    <t>Nave 3</t>
  </si>
  <si>
    <t>Finsa Santa Catarina II</t>
  </si>
  <si>
    <t>XXIV (3)</t>
  </si>
  <si>
    <t>XXIIC (1)</t>
  </si>
  <si>
    <t>X</t>
  </si>
  <si>
    <t>Landus Sta. Catarina</t>
  </si>
  <si>
    <t>Landus</t>
  </si>
  <si>
    <t>INV-SC-02B</t>
  </si>
  <si>
    <t>Airport Technology Park</t>
  </si>
  <si>
    <t>INVENTARIO EN CONSTRUCCION</t>
  </si>
  <si>
    <t>DISPONIBLE</t>
  </si>
  <si>
    <t>Apodaca 1</t>
  </si>
  <si>
    <t>4Q21</t>
  </si>
  <si>
    <t>Inventory I</t>
  </si>
  <si>
    <t>American Industries Apodaca II</t>
  </si>
  <si>
    <t>2Q22</t>
  </si>
  <si>
    <t>Kronos 4</t>
  </si>
  <si>
    <t>Capital G</t>
  </si>
  <si>
    <t>Multi 2</t>
  </si>
  <si>
    <t>Davisa Industrial Park Apodaca</t>
  </si>
  <si>
    <t>Davisa</t>
  </si>
  <si>
    <t>1Q22</t>
  </si>
  <si>
    <t>MT01</t>
  </si>
  <si>
    <t>GP Pocket Park Aeropuerto</t>
  </si>
  <si>
    <t>Spec Building</t>
  </si>
  <si>
    <t>Nexxus Airport Industrial Park</t>
  </si>
  <si>
    <t>Apodaca 8</t>
  </si>
  <si>
    <t>SPV-04</t>
  </si>
  <si>
    <t>Savy Park V</t>
  </si>
  <si>
    <t>SPV-03</t>
  </si>
  <si>
    <t>SPV-05</t>
  </si>
  <si>
    <t>Cienega De Flores</t>
  </si>
  <si>
    <t>GP Pocket Park Norte</t>
  </si>
  <si>
    <t>Edificio 5</t>
  </si>
  <si>
    <t>MT03</t>
  </si>
  <si>
    <t>GP Pocket Park Oriente (Juarez)</t>
  </si>
  <si>
    <t>MT05</t>
  </si>
  <si>
    <t>GP Escobedo</t>
  </si>
  <si>
    <t>PDN 1B</t>
  </si>
  <si>
    <t>PRIVATE OWNERS</t>
  </si>
  <si>
    <t>EMPRESA</t>
  </si>
  <si>
    <t>BTS/ Inventario / Terreno</t>
  </si>
  <si>
    <t>TERRENO HAS</t>
  </si>
  <si>
    <t>EDIFICIO S.M.</t>
  </si>
  <si>
    <t>EDIFICIO S.F.</t>
  </si>
  <si>
    <t>PRECIO</t>
  </si>
  <si>
    <t>Terreno</t>
  </si>
  <si>
    <t>Agente Aduanal</t>
  </si>
  <si>
    <t>Logística</t>
  </si>
  <si>
    <t>Heller Plastic</t>
  </si>
  <si>
    <t>Vynmsa Airport Technology Park</t>
  </si>
  <si>
    <t>Yezica Guadiana</t>
  </si>
  <si>
    <t>Zink Power</t>
  </si>
  <si>
    <t>Vynmsa Monterrey Technology Park</t>
  </si>
  <si>
    <t>ZF</t>
  </si>
  <si>
    <t>Confidencial</t>
  </si>
  <si>
    <t>Hofusan Industrial Park</t>
  </si>
  <si>
    <t>Skyish</t>
  </si>
  <si>
    <t>Sunon</t>
  </si>
  <si>
    <t>Ureblock</t>
  </si>
  <si>
    <t>AI - Monterrey Technology Park</t>
  </si>
  <si>
    <t>LAND</t>
  </si>
  <si>
    <t>AREA TOTAL TERRENO hectareas</t>
  </si>
  <si>
    <t>DESARROLLADO</t>
  </si>
  <si>
    <t>POR DESARROLLAR</t>
  </si>
  <si>
    <t>DISPONIBLE PARA VENTA</t>
  </si>
  <si>
    <t>Interpuerto Industrial Park</t>
  </si>
  <si>
    <t>91.56 hec. semi urbanizado / 1,055 hec. en breña</t>
  </si>
  <si>
    <t>Diamante Cienega de Flores</t>
  </si>
  <si>
    <t>Nexxus Cienega de Flores</t>
  </si>
  <si>
    <t>MTP</t>
  </si>
  <si>
    <t>Vigia</t>
  </si>
  <si>
    <t>American Ind.</t>
  </si>
  <si>
    <t>Regio Parque Industrial Park</t>
  </si>
  <si>
    <t>4,469 mts</t>
  </si>
  <si>
    <t>Finsa Apodaca</t>
  </si>
  <si>
    <t>Davisa Apodaca Industrial</t>
  </si>
  <si>
    <t xml:space="preserve">Guadalupe </t>
  </si>
  <si>
    <t>Sta. Catarina</t>
  </si>
  <si>
    <t>Las Americas</t>
  </si>
  <si>
    <t>Martel Industrial Park III</t>
  </si>
  <si>
    <t>No negociable</t>
  </si>
  <si>
    <t>Escobedo / El Carmen</t>
  </si>
  <si>
    <t>El Jaral Industrial Park</t>
  </si>
  <si>
    <t>García</t>
  </si>
  <si>
    <t>Advance Real Estate</t>
  </si>
  <si>
    <t>Advance Industrial Park (PIAM)</t>
  </si>
  <si>
    <t>El Carmen</t>
  </si>
  <si>
    <t xml:space="preserve">EVALTA  </t>
  </si>
  <si>
    <t>EVALTA - GTP</t>
  </si>
  <si>
    <t>EVALTA - CIP</t>
  </si>
  <si>
    <t>Abasolo</t>
  </si>
  <si>
    <t>EVALTA - NLC</t>
  </si>
  <si>
    <t>EVALTA - ATP</t>
  </si>
  <si>
    <t>Diamante Pesquería</t>
  </si>
  <si>
    <t>Solo para BTS</t>
  </si>
  <si>
    <t>PIES CUADRADOS TOTALES CONSTRUIDOS</t>
  </si>
  <si>
    <t>Market / Real Estate Companies</t>
  </si>
  <si>
    <t>March 2021</t>
  </si>
  <si>
    <t>Square Feet</t>
  </si>
  <si>
    <t>%Of Total</t>
  </si>
  <si>
    <t>Amistad</t>
  </si>
  <si>
    <t>Aros</t>
  </si>
  <si>
    <t>Capital G (Kronos)</t>
  </si>
  <si>
    <t>Fibra Monterrey</t>
  </si>
  <si>
    <t>Fibra Nova</t>
  </si>
  <si>
    <t>Fibra uno (Finsa)</t>
  </si>
  <si>
    <t>FIMAC (CPA + DCT+ Intramerica+Nexxus+CPA)</t>
  </si>
  <si>
    <t xml:space="preserve">Finsa </t>
  </si>
  <si>
    <t>GDS Industrial</t>
  </si>
  <si>
    <t xml:space="preserve">Grupo GP </t>
  </si>
  <si>
    <t>Hofusan</t>
  </si>
  <si>
    <t>Inmobiliaria Cumbres</t>
  </si>
  <si>
    <t xml:space="preserve">Kalos </t>
  </si>
  <si>
    <t>Omolap</t>
  </si>
  <si>
    <t>PIRSA</t>
  </si>
  <si>
    <t>Puerta Norte</t>
  </si>
  <si>
    <t>Terrafina (O’Donnell+AI)</t>
  </si>
  <si>
    <t>Total Monterrey :</t>
  </si>
  <si>
    <t>PROYECTOS FUTUROS</t>
  </si>
  <si>
    <t>AREA TOTAL TERRENO</t>
  </si>
  <si>
    <t>BTS/ Inventory</t>
  </si>
  <si>
    <t>Vynmsa Santa Catarina Industrial Park</t>
  </si>
  <si>
    <t>3Q21</t>
  </si>
  <si>
    <t>Spec VII</t>
  </si>
  <si>
    <t>GDS Business Park</t>
  </si>
  <si>
    <t>Building 3</t>
  </si>
  <si>
    <t>Building 4</t>
  </si>
  <si>
    <t>Building 5</t>
  </si>
  <si>
    <t>Building 6</t>
  </si>
  <si>
    <t>Las Americas Pesquería</t>
  </si>
  <si>
    <t>100 hectareas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</si>
</sst>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;[Red]\-&quot;$&quot;#,##0.00"/>
    <numFmt numFmtId="44" formatCode="_-&quot;$&quot;* #,##0.00_-;\-&quot;$&quot;* #,##0.00_-;_-&quot;$&quot;* &quot;-&quot;??_-;_-@_-"/>
    <numFmt numFmtId="164" formatCode="[$-409]d\-mmm\-yy;@"/>
    <numFmt numFmtId="165" formatCode="[$-409]mmm\-yy;@"/>
    <numFmt numFmtId="166" formatCode="#,##0.0"/>
    <numFmt numFmtId="167" formatCode="_-&quot;$&quot;* #,##0_-;\-&quot;$&quot;* #,##0_-;_-&quot;$&quot;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23"/>
      <name val="Century Gothic"/>
      <family val="2"/>
    </font>
    <font>
      <sz val="10"/>
      <name val="Open Sans"/>
      <family val="2"/>
    </font>
    <font>
      <sz val="10"/>
      <name val="Century Gothic"/>
      <family val="2"/>
    </font>
    <font>
      <b/>
      <sz val="16"/>
      <color theme="3" tint="0.39997558519241921"/>
      <name val="Century Gothic"/>
      <family val="2"/>
    </font>
    <font>
      <b/>
      <sz val="12"/>
      <color indexed="23"/>
      <name val="Century Gothic"/>
      <family val="2"/>
    </font>
    <font>
      <b/>
      <sz val="14"/>
      <name val="Arial"/>
      <family val="2"/>
    </font>
    <font>
      <b/>
      <sz val="12"/>
      <color indexed="9"/>
      <name val="Century Gothic"/>
      <family val="2"/>
    </font>
    <font>
      <b/>
      <sz val="12"/>
      <name val="Arial"/>
      <family val="2"/>
    </font>
    <font>
      <b/>
      <sz val="16"/>
      <color indexed="54"/>
      <name val="Century Gothic"/>
      <family val="2"/>
    </font>
    <font>
      <b/>
      <sz val="16"/>
      <name val="Arial"/>
      <family val="2"/>
    </font>
    <font>
      <sz val="10"/>
      <color theme="3" tint="-0.249977111117893"/>
      <name val="Century Gothic"/>
      <family val="2"/>
    </font>
    <font>
      <b/>
      <sz val="10"/>
      <color theme="3" tint="-0.249977111117893"/>
      <name val="Century Gothic"/>
      <family val="2"/>
    </font>
    <font>
      <sz val="10"/>
      <color theme="3" tint="-0.249977111117893"/>
      <name val="Arial"/>
      <family val="2"/>
    </font>
    <font>
      <sz val="16"/>
      <name val="Arial"/>
      <family val="2"/>
    </font>
    <font>
      <sz val="16"/>
      <color indexed="10"/>
      <name val="Arial"/>
      <family val="2"/>
    </font>
    <font>
      <sz val="10"/>
      <name val="Arial"/>
      <family val="2"/>
    </font>
    <font>
      <b/>
      <sz val="10"/>
      <name val="Century Gothic"/>
      <family val="2"/>
    </font>
    <font>
      <sz val="12"/>
      <color indexed="9"/>
      <name val="Century Gothic"/>
      <family val="2"/>
    </font>
    <font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3" tint="0.39997558519241921"/>
      <name val="Century Gothic"/>
      <family val="2"/>
    </font>
    <font>
      <b/>
      <sz val="18"/>
      <name val="Century Gothic"/>
      <family val="2"/>
    </font>
    <font>
      <sz val="9"/>
      <name val="Century Gothic"/>
      <family val="2"/>
    </font>
    <font>
      <b/>
      <sz val="10"/>
      <color indexed="23"/>
      <name val="Century Gothic"/>
      <family val="2"/>
    </font>
    <font>
      <sz val="10"/>
      <color indexed="55"/>
      <name val="Century Gothic"/>
      <family val="2"/>
    </font>
    <font>
      <b/>
      <sz val="10"/>
      <color indexed="9"/>
      <name val="Century Gothic"/>
      <family val="2"/>
    </font>
    <font>
      <b/>
      <sz val="10"/>
      <color indexed="54"/>
      <name val="Century Gothic"/>
      <family val="2"/>
    </font>
    <font>
      <sz val="9"/>
      <name val="Calibri"/>
      <family val="2"/>
    </font>
    <font>
      <sz val="9"/>
      <color theme="3" tint="-0.249977111117893"/>
      <name val="Century Gothic"/>
      <family val="2"/>
    </font>
    <font>
      <sz val="9"/>
      <color theme="3" tint="-0.249977111117893"/>
      <name val="Calibri"/>
      <family val="2"/>
    </font>
    <font>
      <sz val="10"/>
      <color theme="3" tint="-0.249977111117893"/>
      <name val="Calibri"/>
      <family val="2"/>
    </font>
    <font>
      <sz val="10"/>
      <name val="Calibri"/>
      <family val="2"/>
    </font>
    <font>
      <b/>
      <sz val="18"/>
      <color theme="3" tint="0.39997558519241921"/>
      <name val="Century Gothic"/>
      <family val="2"/>
    </font>
    <font>
      <b/>
      <sz val="9"/>
      <color theme="3" tint="-0.249977111117893"/>
      <name val="Century Gothic"/>
      <family val="2"/>
    </font>
    <font>
      <b/>
      <sz val="14"/>
      <color indexed="9"/>
      <name val="Century Gothic"/>
      <family val="2"/>
    </font>
    <font>
      <sz val="10"/>
      <color indexed="9"/>
      <name val="Century Gothic"/>
      <family val="2"/>
    </font>
    <font>
      <b/>
      <sz val="10"/>
      <color indexed="22"/>
      <name val="Century Gothic"/>
      <family val="2"/>
    </font>
    <font>
      <sz val="10"/>
      <color indexed="22"/>
      <name val="Century Gothic"/>
      <family val="2"/>
    </font>
    <font>
      <sz val="10"/>
      <color theme="4" tint="-0.499984740745262"/>
      <name val="Century Gothic"/>
      <family val="2"/>
    </font>
    <font>
      <sz val="14"/>
      <name val="Century Gothic"/>
      <family val="2"/>
    </font>
    <font>
      <sz val="14"/>
      <name val="Arial"/>
      <family val="2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FF000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</borders>
  <cellStyleXfs count="15">
    <xf numFmtId="0" fontId="0" fillId="0" borderId="0"/>
    <xf numFmtId="44" fontId="1" fillId="0" borderId="0" applyFont="0" applyFill="0" applyBorder="0" applyAlignment="0" applyProtection="0"/>
    <xf numFmtId="0" fontId="19" fillId="0" borderId="0"/>
    <xf numFmtId="44" fontId="1" fillId="0" borderId="0" applyFont="0" applyFill="0" applyBorder="0" applyAlignment="0" applyProtection="0"/>
    <xf numFmtId="0" fontId="19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7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3" fontId="6" fillId="0" borderId="0" xfId="0" applyNumberFormat="1" applyFont="1" applyAlignment="1">
      <alignment horizontal="center"/>
    </xf>
    <xf numFmtId="164" fontId="6" fillId="0" borderId="0" xfId="0" applyNumberFormat="1" applyFont="1"/>
    <xf numFmtId="0" fontId="6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3" fontId="10" fillId="2" borderId="2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3" borderId="3" xfId="0" applyFont="1" applyFill="1" applyBorder="1" applyAlignment="1">
      <alignment vertical="center"/>
    </xf>
    <xf numFmtId="0" fontId="12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0" xfId="0" applyFont="1" applyAlignment="1">
      <alignment vertical="center"/>
    </xf>
    <xf numFmtId="17" fontId="14" fillId="0" borderId="7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3" fontId="15" fillId="0" borderId="2" xfId="0" applyNumberFormat="1" applyFont="1" applyBorder="1" applyAlignment="1">
      <alignment horizontal="right" vertical="center"/>
    </xf>
    <xf numFmtId="0" fontId="15" fillId="4" borderId="2" xfId="0" applyFont="1" applyFill="1" applyBorder="1" applyAlignment="1">
      <alignment horizontal="right" vertical="center"/>
    </xf>
    <xf numFmtId="0" fontId="16" fillId="0" borderId="0" xfId="0" applyFont="1" applyAlignment="1">
      <alignment vertical="center"/>
    </xf>
    <xf numFmtId="0" fontId="12" fillId="3" borderId="8" xfId="0" applyFont="1" applyFill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7" fillId="0" borderId="0" xfId="0" applyFont="1" applyAlignment="1">
      <alignment vertical="center"/>
    </xf>
    <xf numFmtId="2" fontId="14" fillId="0" borderId="2" xfId="0" applyNumberFormat="1" applyFont="1" applyBorder="1" applyAlignment="1">
      <alignment horizontal="left"/>
    </xf>
    <xf numFmtId="2" fontId="14" fillId="0" borderId="2" xfId="0" applyNumberFormat="1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8" fillId="0" borderId="6" xfId="0" applyFont="1" applyBorder="1" applyAlignment="1">
      <alignment vertical="center"/>
    </xf>
    <xf numFmtId="8" fontId="14" fillId="0" borderId="2" xfId="0" applyNumberFormat="1" applyFont="1" applyBorder="1" applyAlignment="1">
      <alignment horizontal="center" vertical="center"/>
    </xf>
    <xf numFmtId="8" fontId="14" fillId="4" borderId="2" xfId="2" applyNumberFormat="1" applyFont="1" applyFill="1" applyBorder="1" applyAlignment="1">
      <alignment horizontal="left" vertical="center"/>
    </xf>
    <xf numFmtId="8" fontId="14" fillId="0" borderId="2" xfId="2" applyNumberFormat="1" applyFont="1" applyBorder="1" applyAlignment="1">
      <alignment horizontal="left" vertical="center"/>
    </xf>
    <xf numFmtId="0" fontId="16" fillId="0" borderId="0" xfId="2" applyFont="1" applyAlignment="1">
      <alignment vertical="center"/>
    </xf>
    <xf numFmtId="0" fontId="1" fillId="5" borderId="4" xfId="0" applyFont="1" applyFill="1" applyBorder="1" applyAlignment="1">
      <alignment vertical="center"/>
    </xf>
    <xf numFmtId="3" fontId="20" fillId="5" borderId="4" xfId="0" applyNumberFormat="1" applyFont="1" applyFill="1" applyBorder="1" applyAlignment="1">
      <alignment horizontal="left" vertical="center"/>
    </xf>
    <xf numFmtId="3" fontId="20" fillId="5" borderId="8" xfId="0" applyNumberFormat="1" applyFont="1" applyFill="1" applyBorder="1" applyAlignment="1">
      <alignment horizontal="left" vertical="center"/>
    </xf>
    <xf numFmtId="0" fontId="19" fillId="0" borderId="0" xfId="0" applyFont="1" applyAlignment="1">
      <alignment vertical="center"/>
    </xf>
    <xf numFmtId="3" fontId="14" fillId="4" borderId="2" xfId="0" applyNumberFormat="1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3" fontId="12" fillId="3" borderId="4" xfId="0" applyNumberFormat="1" applyFont="1" applyFill="1" applyBorder="1" applyAlignment="1">
      <alignment vertical="center"/>
    </xf>
    <xf numFmtId="8" fontId="14" fillId="0" borderId="2" xfId="0" applyNumberFormat="1" applyFont="1" applyBorder="1" applyAlignment="1">
      <alignment vertical="center"/>
    </xf>
    <xf numFmtId="8" fontId="14" fillId="4" borderId="2" xfId="0" applyNumberFormat="1" applyFont="1" applyFill="1" applyBorder="1" applyAlignment="1">
      <alignment vertical="center"/>
    </xf>
    <xf numFmtId="3" fontId="10" fillId="2" borderId="2" xfId="0" applyNumberFormat="1" applyFont="1" applyFill="1" applyBorder="1" applyAlignment="1">
      <alignment horizontal="right" vertical="center"/>
    </xf>
    <xf numFmtId="0" fontId="21" fillId="2" borderId="2" xfId="0" applyFont="1" applyFill="1" applyBorder="1" applyAlignment="1">
      <alignment vertical="center"/>
    </xf>
    <xf numFmtId="164" fontId="21" fillId="2" borderId="2" xfId="0" applyNumberFormat="1" applyFont="1" applyFill="1" applyBorder="1" applyAlignment="1">
      <alignment vertical="center"/>
    </xf>
    <xf numFmtId="0" fontId="21" fillId="2" borderId="2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30" fillId="2" borderId="9" xfId="0" applyFont="1" applyFill="1" applyBorder="1" applyAlignment="1">
      <alignment horizontal="center" vertical="center"/>
    </xf>
    <xf numFmtId="0" fontId="30" fillId="2" borderId="10" xfId="0" applyFont="1" applyFill="1" applyBorder="1" applyAlignment="1">
      <alignment horizontal="center" vertical="center"/>
    </xf>
    <xf numFmtId="3" fontId="30" fillId="2" borderId="10" xfId="0" applyNumberFormat="1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3" fontId="30" fillId="2" borderId="2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1" fillId="3" borderId="2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3" fontId="32" fillId="0" borderId="0" xfId="0" applyNumberFormat="1" applyFont="1" applyAlignment="1">
      <alignment horizontal="right" vertical="center" wrapText="1"/>
    </xf>
    <xf numFmtId="3" fontId="33" fillId="4" borderId="2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3" fontId="33" fillId="0" borderId="0" xfId="0" applyNumberFormat="1" applyFont="1" applyAlignment="1">
      <alignment horizontal="left" vertical="center"/>
    </xf>
    <xf numFmtId="3" fontId="15" fillId="0" borderId="2" xfId="0" applyNumberFormat="1" applyFont="1" applyBorder="1" applyAlignment="1">
      <alignment horizontal="center" vertical="center"/>
    </xf>
    <xf numFmtId="3" fontId="36" fillId="0" borderId="0" xfId="0" applyNumberFormat="1" applyFont="1" applyAlignment="1">
      <alignment vertical="center"/>
    </xf>
    <xf numFmtId="0" fontId="31" fillId="3" borderId="8" xfId="0" applyFont="1" applyFill="1" applyBorder="1" applyAlignment="1">
      <alignment vertical="center"/>
    </xf>
    <xf numFmtId="3" fontId="15" fillId="0" borderId="10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3" fontId="36" fillId="0" borderId="0" xfId="0" applyNumberFormat="1" applyFont="1" applyAlignment="1">
      <alignment horizontal="right" vertical="center"/>
    </xf>
    <xf numFmtId="166" fontId="14" fillId="0" borderId="2" xfId="0" applyNumberFormat="1" applyFont="1" applyBorder="1" applyAlignment="1">
      <alignment horizontal="center" vertical="center"/>
    </xf>
    <xf numFmtId="3" fontId="35" fillId="0" borderId="0" xfId="0" applyNumberFormat="1" applyFont="1" applyAlignment="1">
      <alignment horizontal="right" vertical="center"/>
    </xf>
    <xf numFmtId="0" fontId="14" fillId="0" borderId="4" xfId="0" applyFont="1" applyBorder="1" applyAlignment="1">
      <alignment horizontal="left" vertical="center"/>
    </xf>
    <xf numFmtId="0" fontId="14" fillId="0" borderId="10" xfId="0" applyFont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/>
    </xf>
    <xf numFmtId="3" fontId="10" fillId="2" borderId="4" xfId="0" applyNumberFormat="1" applyFont="1" applyFill="1" applyBorder="1" applyAlignment="1">
      <alignment horizontal="center" vertical="center"/>
    </xf>
    <xf numFmtId="3" fontId="30" fillId="2" borderId="4" xfId="0" applyNumberFormat="1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/>
    </xf>
    <xf numFmtId="3" fontId="0" fillId="0" borderId="0" xfId="0" applyNumberFormat="1"/>
    <xf numFmtId="0" fontId="6" fillId="0" borderId="0" xfId="0" applyFont="1" applyAlignment="1">
      <alignment vertical="center"/>
    </xf>
    <xf numFmtId="0" fontId="28" fillId="2" borderId="2" xfId="0" applyFont="1" applyFill="1" applyBorder="1" applyAlignment="1">
      <alignment horizontal="center" vertical="center"/>
    </xf>
    <xf numFmtId="3" fontId="15" fillId="0" borderId="12" xfId="0" applyNumberFormat="1" applyFont="1" applyBorder="1" applyAlignment="1">
      <alignment horizontal="center" vertical="center"/>
    </xf>
    <xf numFmtId="3" fontId="15" fillId="0" borderId="7" xfId="0" applyNumberFormat="1" applyFont="1" applyBorder="1" applyAlignment="1">
      <alignment horizontal="center" vertical="center"/>
    </xf>
    <xf numFmtId="3" fontId="38" fillId="0" borderId="7" xfId="0" applyNumberFormat="1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6" fillId="4" borderId="0" xfId="0" applyFont="1" applyFill="1" applyAlignment="1">
      <alignment vertical="center"/>
    </xf>
    <xf numFmtId="0" fontId="33" fillId="0" borderId="2" xfId="0" applyFont="1" applyBorder="1" applyAlignment="1">
      <alignment horizontal="center" vertical="center"/>
    </xf>
    <xf numFmtId="3" fontId="15" fillId="0" borderId="8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0" fontId="14" fillId="4" borderId="13" xfId="0" applyFont="1" applyFill="1" applyBorder="1" applyAlignment="1">
      <alignment horizontal="left" vertical="center"/>
    </xf>
    <xf numFmtId="0" fontId="14" fillId="4" borderId="14" xfId="0" applyFont="1" applyFill="1" applyBorder="1" applyAlignment="1">
      <alignment horizontal="left" vertical="center"/>
    </xf>
    <xf numFmtId="0" fontId="14" fillId="4" borderId="15" xfId="0" applyFont="1" applyFill="1" applyBorder="1" applyAlignment="1">
      <alignment horizontal="center" vertical="center"/>
    </xf>
    <xf numFmtId="3" fontId="14" fillId="4" borderId="8" xfId="0" applyNumberFormat="1" applyFont="1" applyFill="1" applyBorder="1" applyAlignment="1">
      <alignment horizontal="center" vertical="center"/>
    </xf>
    <xf numFmtId="3" fontId="33" fillId="4" borderId="8" xfId="0" applyNumberFormat="1" applyFont="1" applyFill="1" applyBorder="1" applyAlignment="1">
      <alignment horizontal="center" vertical="center"/>
    </xf>
    <xf numFmtId="0" fontId="33" fillId="4" borderId="2" xfId="0" applyFont="1" applyFill="1" applyBorder="1" applyAlignment="1">
      <alignment horizontal="center" vertical="center"/>
    </xf>
    <xf numFmtId="3" fontId="38" fillId="0" borderId="1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14" fillId="0" borderId="0" xfId="0" applyFont="1" applyAlignment="1">
      <alignment horizontal="left" vertical="center"/>
    </xf>
    <xf numFmtId="3" fontId="38" fillId="0" borderId="2" xfId="0" applyNumberFormat="1" applyFont="1" applyBorder="1" applyAlignment="1">
      <alignment horizontal="center" vertical="center"/>
    </xf>
    <xf numFmtId="0" fontId="39" fillId="2" borderId="3" xfId="0" applyFont="1" applyFill="1" applyBorder="1" applyAlignment="1">
      <alignment horizontal="center" vertical="center"/>
    </xf>
    <xf numFmtId="0" fontId="39" fillId="2" borderId="4" xfId="0" applyFont="1" applyFill="1" applyBorder="1" applyAlignment="1">
      <alignment horizontal="center" vertical="center"/>
    </xf>
    <xf numFmtId="3" fontId="39" fillId="2" borderId="4" xfId="0" applyNumberFormat="1" applyFont="1" applyFill="1" applyBorder="1" applyAlignment="1">
      <alignment horizontal="center" vertical="center"/>
    </xf>
    <xf numFmtId="0" fontId="40" fillId="2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42" fillId="3" borderId="0" xfId="0" applyFont="1" applyFill="1" applyAlignment="1">
      <alignment vertical="center"/>
    </xf>
    <xf numFmtId="3" fontId="43" fillId="0" borderId="2" xfId="0" applyNumberFormat="1" applyFont="1" applyBorder="1" applyAlignment="1">
      <alignment horizontal="center" vertical="center"/>
    </xf>
    <xf numFmtId="165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44" fillId="2" borderId="11" xfId="0" applyFont="1" applyFill="1" applyBorder="1" applyAlignment="1">
      <alignment vertical="center"/>
    </xf>
    <xf numFmtId="0" fontId="39" fillId="2" borderId="1" xfId="0" applyFont="1" applyFill="1" applyBorder="1" applyAlignment="1">
      <alignment vertical="center"/>
    </xf>
    <xf numFmtId="0" fontId="39" fillId="2" borderId="1" xfId="0" applyFont="1" applyFill="1" applyBorder="1" applyAlignment="1">
      <alignment horizontal="right" vertical="center"/>
    </xf>
    <xf numFmtId="3" fontId="39" fillId="2" borderId="1" xfId="0" applyNumberFormat="1" applyFont="1" applyFill="1" applyBorder="1" applyAlignment="1">
      <alignment horizontal="right" vertical="center"/>
    </xf>
    <xf numFmtId="0" fontId="39" fillId="2" borderId="1" xfId="0" applyFont="1" applyFill="1" applyBorder="1" applyAlignment="1">
      <alignment horizontal="center" vertical="center"/>
    </xf>
    <xf numFmtId="3" fontId="39" fillId="2" borderId="1" xfId="0" applyNumberFormat="1" applyFont="1" applyFill="1" applyBorder="1" applyAlignment="1">
      <alignment horizontal="center" vertical="center"/>
    </xf>
    <xf numFmtId="0" fontId="44" fillId="2" borderId="1" xfId="0" applyFont="1" applyFill="1" applyBorder="1" applyAlignment="1">
      <alignment vertical="center"/>
    </xf>
    <xf numFmtId="0" fontId="4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3" fontId="6" fillId="0" borderId="0" xfId="0" applyNumberFormat="1" applyFont="1" applyAlignment="1">
      <alignment horizontal="center" vertical="center"/>
    </xf>
    <xf numFmtId="0" fontId="30" fillId="2" borderId="2" xfId="0" applyFont="1" applyFill="1" applyBorder="1" applyAlignment="1">
      <alignment horizontal="center" vertical="center" wrapText="1"/>
    </xf>
    <xf numFmtId="0" fontId="42" fillId="3" borderId="8" xfId="0" applyFont="1" applyFill="1" applyBorder="1" applyAlignment="1">
      <alignment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167" fontId="43" fillId="0" borderId="2" xfId="1" applyNumberFormat="1" applyFont="1" applyBorder="1" applyAlignment="1">
      <alignment horizontal="center" vertical="center"/>
    </xf>
    <xf numFmtId="167" fontId="14" fillId="0" borderId="2" xfId="3" applyNumberFormat="1" applyFont="1" applyBorder="1" applyAlignment="1">
      <alignment horizontal="center" vertical="center"/>
    </xf>
    <xf numFmtId="0" fontId="44" fillId="2" borderId="0" xfId="0" applyFont="1" applyFill="1" applyAlignment="1">
      <alignment vertical="center"/>
    </xf>
    <xf numFmtId="0" fontId="39" fillId="2" borderId="0" xfId="0" applyFont="1" applyFill="1" applyAlignment="1">
      <alignment vertical="center"/>
    </xf>
    <xf numFmtId="0" fontId="39" fillId="2" borderId="0" xfId="0" applyFont="1" applyFill="1" applyAlignment="1">
      <alignment horizontal="right" vertical="center"/>
    </xf>
    <xf numFmtId="3" fontId="39" fillId="2" borderId="0" xfId="0" applyNumberFormat="1" applyFont="1" applyFill="1" applyAlignment="1">
      <alignment horizontal="right" vertical="center"/>
    </xf>
    <xf numFmtId="0" fontId="44" fillId="2" borderId="14" xfId="0" applyFont="1" applyFill="1" applyBorder="1" applyAlignment="1">
      <alignment vertical="center"/>
    </xf>
    <xf numFmtId="0" fontId="47" fillId="0" borderId="22" xfId="0" applyFont="1" applyBorder="1" applyAlignment="1">
      <alignment horizontal="center"/>
    </xf>
    <xf numFmtId="0" fontId="47" fillId="0" borderId="23" xfId="0" applyFont="1" applyBorder="1" applyAlignment="1">
      <alignment horizontal="center"/>
    </xf>
    <xf numFmtId="0" fontId="19" fillId="0" borderId="2" xfId="4" applyBorder="1"/>
    <xf numFmtId="3" fontId="0" fillId="0" borderId="2" xfId="0" applyNumberFormat="1" applyBorder="1"/>
    <xf numFmtId="10" fontId="0" fillId="0" borderId="2" xfId="0" applyNumberFormat="1" applyBorder="1"/>
    <xf numFmtId="0" fontId="19" fillId="0" borderId="0" xfId="0" applyFont="1"/>
    <xf numFmtId="0" fontId="3" fillId="0" borderId="2" xfId="0" applyFont="1" applyBorder="1"/>
    <xf numFmtId="0" fontId="30" fillId="2" borderId="14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/>
    </xf>
    <xf numFmtId="0" fontId="44" fillId="2" borderId="6" xfId="0" applyFont="1" applyFill="1" applyBorder="1" applyAlignment="1">
      <alignment vertical="center"/>
    </xf>
    <xf numFmtId="0" fontId="39" fillId="2" borderId="0" xfId="0" applyFont="1" applyFill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31" fillId="3" borderId="2" xfId="0" applyFont="1" applyFill="1" applyBorder="1" applyAlignment="1">
      <alignment horizontal="center" vertical="center"/>
    </xf>
    <xf numFmtId="17" fontId="33" fillId="0" borderId="2" xfId="0" applyNumberFormat="1" applyFont="1" applyBorder="1" applyAlignment="1">
      <alignment horizontal="center" vertical="center"/>
    </xf>
    <xf numFmtId="165" fontId="14" fillId="0" borderId="2" xfId="0" applyNumberFormat="1" applyFont="1" applyBorder="1" applyAlignment="1">
      <alignment horizontal="center" vertical="center"/>
    </xf>
    <xf numFmtId="17" fontId="14" fillId="0" borderId="2" xfId="0" applyNumberFormat="1" applyFont="1" applyBorder="1" applyAlignment="1">
      <alignment horizontal="center" vertical="center"/>
    </xf>
    <xf numFmtId="3" fontId="33" fillId="0" borderId="2" xfId="0" applyNumberFormat="1" applyFont="1" applyBorder="1" applyAlignment="1">
      <alignment horizontal="center" vertical="center" wrapText="1"/>
    </xf>
    <xf numFmtId="3" fontId="33" fillId="0" borderId="2" xfId="0" applyNumberFormat="1" applyFont="1" applyBorder="1" applyAlignment="1">
      <alignment horizontal="center" vertical="center"/>
    </xf>
    <xf numFmtId="0" fontId="14" fillId="0" borderId="2" xfId="2" applyFont="1" applyBorder="1" applyAlignment="1">
      <alignment vertical="center"/>
    </xf>
    <xf numFmtId="3" fontId="14" fillId="0" borderId="2" xfId="2" applyNumberFormat="1" applyFont="1" applyBorder="1" applyAlignment="1">
      <alignment horizontal="left" vertical="center"/>
    </xf>
    <xf numFmtId="3" fontId="14" fillId="0" borderId="2" xfId="2" applyNumberFormat="1" applyFont="1" applyBorder="1" applyAlignment="1">
      <alignment horizontal="center" vertical="center"/>
    </xf>
    <xf numFmtId="0" fontId="49" fillId="0" borderId="0" xfId="0" applyFont="1"/>
    <xf numFmtId="0" fontId="14" fillId="0" borderId="2" xfId="0" applyFont="1" applyBorder="1" applyAlignment="1">
      <alignment horizontal="left" vertical="top"/>
    </xf>
    <xf numFmtId="3" fontId="14" fillId="0" borderId="2" xfId="0" applyNumberFormat="1" applyFont="1" applyBorder="1" applyAlignment="1">
      <alignment horizontal="left" vertical="center"/>
    </xf>
    <xf numFmtId="3" fontId="35" fillId="0" borderId="0" xfId="0" applyNumberFormat="1" applyFont="1" applyAlignment="1">
      <alignment horizontal="right" vertical="center" wrapText="1"/>
    </xf>
    <xf numFmtId="0" fontId="14" fillId="0" borderId="4" xfId="0" applyFont="1" applyBorder="1" applyAlignment="1">
      <alignment vertical="center"/>
    </xf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vertical="center"/>
    </xf>
    <xf numFmtId="3" fontId="14" fillId="0" borderId="7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3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4" fillId="0" borderId="2" xfId="2" applyFont="1" applyBorder="1" applyAlignment="1">
      <alignment horizontal="center" vertical="center"/>
    </xf>
    <xf numFmtId="165" fontId="14" fillId="0" borderId="2" xfId="2" applyNumberFormat="1" applyFont="1" applyBorder="1" applyAlignment="1">
      <alignment horizontal="center" vertical="center"/>
    </xf>
    <xf numFmtId="0" fontId="14" fillId="4" borderId="2" xfId="0" applyFont="1" applyFill="1" applyBorder="1" applyAlignment="1">
      <alignment vertical="center"/>
    </xf>
    <xf numFmtId="165" fontId="14" fillId="0" borderId="2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left" vertical="center"/>
    </xf>
    <xf numFmtId="0" fontId="14" fillId="0" borderId="2" xfId="2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3" fontId="35" fillId="0" borderId="0" xfId="0" applyNumberFormat="1" applyFont="1" applyAlignment="1">
      <alignment vertical="center"/>
    </xf>
    <xf numFmtId="3" fontId="14" fillId="0" borderId="2" xfId="0" applyNumberFormat="1" applyFont="1" applyBorder="1" applyAlignment="1">
      <alignment horizontal="left" vertical="center" wrapText="1"/>
    </xf>
    <xf numFmtId="0" fontId="15" fillId="0" borderId="2" xfId="0" applyFont="1" applyBorder="1" applyAlignment="1">
      <alignment horizontal="right" vertical="center"/>
    </xf>
    <xf numFmtId="0" fontId="31" fillId="3" borderId="3" xfId="0" applyFont="1" applyFill="1" applyBorder="1" applyAlignment="1">
      <alignment horizontal="center" vertical="center"/>
    </xf>
    <xf numFmtId="0" fontId="31" fillId="3" borderId="4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4" fontId="1" fillId="0" borderId="0" xfId="0" applyNumberFormat="1" applyFont="1"/>
    <xf numFmtId="4" fontId="16" fillId="0" borderId="0" xfId="0" applyNumberFormat="1" applyFont="1" applyAlignment="1">
      <alignment vertical="center"/>
    </xf>
    <xf numFmtId="3" fontId="15" fillId="0" borderId="2" xfId="0" applyNumberFormat="1" applyFont="1" applyBorder="1" applyAlignment="1">
      <alignment vertical="center"/>
    </xf>
    <xf numFmtId="0" fontId="47" fillId="0" borderId="2" xfId="0" applyFont="1" applyBorder="1" applyAlignment="1">
      <alignment horizontal="center"/>
    </xf>
    <xf numFmtId="0" fontId="50" fillId="4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3" fontId="48" fillId="0" borderId="2" xfId="0" applyNumberFormat="1" applyFont="1" applyBorder="1"/>
    <xf numFmtId="3" fontId="3" fillId="0" borderId="2" xfId="0" applyNumberFormat="1" applyFont="1" applyBorder="1"/>
    <xf numFmtId="9" fontId="3" fillId="0" borderId="2" xfId="0" applyNumberFormat="1" applyFont="1" applyBorder="1"/>
    <xf numFmtId="0" fontId="19" fillId="0" borderId="7" xfId="4" applyBorder="1"/>
    <xf numFmtId="0" fontId="14" fillId="4" borderId="2" xfId="0" applyFont="1" applyFill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14" fillId="0" borderId="25" xfId="0" applyFont="1" applyBorder="1" applyAlignment="1">
      <alignment horizontal="center" vertical="center"/>
    </xf>
    <xf numFmtId="3" fontId="33" fillId="0" borderId="25" xfId="0" applyNumberFormat="1" applyFont="1" applyBorder="1" applyAlignment="1">
      <alignment horizontal="center" vertical="center"/>
    </xf>
    <xf numFmtId="3" fontId="33" fillId="0" borderId="25" xfId="0" applyNumberFormat="1" applyFont="1" applyBorder="1" applyAlignment="1">
      <alignment horizontal="center" vertical="center" wrapText="1"/>
    </xf>
    <xf numFmtId="17" fontId="33" fillId="0" borderId="12" xfId="0" applyNumberFormat="1" applyFont="1" applyBorder="1" applyAlignment="1">
      <alignment horizontal="center" vertical="center"/>
    </xf>
    <xf numFmtId="0" fontId="14" fillId="6" borderId="2" xfId="0" applyFont="1" applyFill="1" applyBorder="1" applyAlignment="1">
      <alignment horizontal="left" vertical="center"/>
    </xf>
    <xf numFmtId="0" fontId="14" fillId="6" borderId="2" xfId="0" applyFont="1" applyFill="1" applyBorder="1" applyAlignment="1">
      <alignment vertical="center"/>
    </xf>
    <xf numFmtId="3" fontId="14" fillId="6" borderId="2" xfId="0" applyNumberFormat="1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left" vertical="center"/>
    </xf>
    <xf numFmtId="0" fontId="15" fillId="0" borderId="2" xfId="0" applyFont="1" applyBorder="1" applyAlignment="1">
      <alignment horizontal="right" vertical="center"/>
    </xf>
    <xf numFmtId="3" fontId="15" fillId="0" borderId="2" xfId="0" applyNumberFormat="1" applyFont="1" applyBorder="1" applyAlignment="1">
      <alignment horizontal="left" vertical="center"/>
    </xf>
    <xf numFmtId="0" fontId="10" fillId="2" borderId="2" xfId="0" applyFont="1" applyFill="1" applyBorder="1" applyAlignment="1">
      <alignment horizontal="right" vertical="center"/>
    </xf>
    <xf numFmtId="0" fontId="16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right" vertical="center"/>
    </xf>
    <xf numFmtId="0" fontId="15" fillId="0" borderId="4" xfId="0" applyFont="1" applyBorder="1" applyAlignment="1">
      <alignment horizontal="right" vertical="center"/>
    </xf>
    <xf numFmtId="0" fontId="15" fillId="0" borderId="8" xfId="0" applyFont="1" applyBorder="1" applyAlignment="1">
      <alignment horizontal="right" vertical="center"/>
    </xf>
    <xf numFmtId="0" fontId="31" fillId="3" borderId="3" xfId="0" applyFont="1" applyFill="1" applyBorder="1" applyAlignment="1">
      <alignment horizontal="center" vertical="center"/>
    </xf>
    <xf numFmtId="0" fontId="31" fillId="3" borderId="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right" vertical="center"/>
    </xf>
    <xf numFmtId="0" fontId="10" fillId="2" borderId="4" xfId="0" applyFont="1" applyFill="1" applyBorder="1" applyAlignment="1">
      <alignment horizontal="right" vertical="center"/>
    </xf>
    <xf numFmtId="0" fontId="31" fillId="3" borderId="8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38" fillId="0" borderId="2" xfId="0" applyFont="1" applyBorder="1" applyAlignment="1">
      <alignment horizontal="right" vertical="center"/>
    </xf>
    <xf numFmtId="0" fontId="38" fillId="0" borderId="3" xfId="0" applyFont="1" applyBorder="1" applyAlignment="1">
      <alignment horizontal="right" vertical="center"/>
    </xf>
    <xf numFmtId="0" fontId="38" fillId="0" borderId="4" xfId="0" applyFont="1" applyBorder="1" applyAlignment="1">
      <alignment horizontal="right" vertical="center"/>
    </xf>
    <xf numFmtId="0" fontId="38" fillId="0" borderId="8" xfId="0" applyFont="1" applyBorder="1" applyAlignment="1">
      <alignment horizontal="right" vertical="center"/>
    </xf>
    <xf numFmtId="0" fontId="38" fillId="0" borderId="11" xfId="0" applyFont="1" applyBorder="1" applyAlignment="1">
      <alignment horizontal="right" vertical="center"/>
    </xf>
    <xf numFmtId="0" fontId="38" fillId="0" borderId="1" xfId="0" applyFont="1" applyBorder="1" applyAlignment="1">
      <alignment horizontal="right" vertical="center"/>
    </xf>
    <xf numFmtId="0" fontId="38" fillId="0" borderId="12" xfId="0" applyFont="1" applyBorder="1" applyAlignment="1">
      <alignment horizontal="right" vertical="center"/>
    </xf>
    <xf numFmtId="0" fontId="38" fillId="0" borderId="16" xfId="0" applyFont="1" applyBorder="1" applyAlignment="1">
      <alignment horizontal="right" vertical="center"/>
    </xf>
    <xf numFmtId="0" fontId="38" fillId="0" borderId="17" xfId="0" applyFont="1" applyBorder="1" applyAlignment="1">
      <alignment horizontal="right" vertical="center"/>
    </xf>
    <xf numFmtId="0" fontId="38" fillId="0" borderId="18" xfId="0" applyFont="1" applyBorder="1" applyAlignment="1">
      <alignment horizontal="right" vertical="center"/>
    </xf>
    <xf numFmtId="0" fontId="3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41" fillId="3" borderId="0" xfId="0" applyFont="1" applyFill="1" applyAlignment="1">
      <alignment horizontal="left" vertical="center"/>
    </xf>
    <xf numFmtId="0" fontId="46" fillId="0" borderId="0" xfId="0" applyFont="1" applyAlignment="1">
      <alignment horizont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41" fillId="3" borderId="24" xfId="0" applyFont="1" applyFill="1" applyBorder="1" applyAlignment="1">
      <alignment horizontal="left" vertical="center"/>
    </xf>
  </cellXfs>
  <cellStyles count="15">
    <cellStyle name="Moneda" xfId="1" builtinId="4"/>
    <cellStyle name="Moneda 2" xfId="3" xr:uid="{FFF35358-769D-42B4-AD01-63737015548C}"/>
    <cellStyle name="Moneda 2 2" xfId="6" xr:uid="{51032BB2-F401-45FA-A6B2-FEE872AE8CC0}"/>
    <cellStyle name="Moneda 2 2 2" xfId="10" xr:uid="{B5FF4A14-EF96-4D49-8317-7D9F19F8CE87}"/>
    <cellStyle name="Moneda 2 2 3" xfId="14" xr:uid="{1AB63616-00B3-4546-878F-5387239B8EF5}"/>
    <cellStyle name="Moneda 2 3" xfId="8" xr:uid="{79EEB431-7CA5-40B4-97D9-6CA788E7B72F}"/>
    <cellStyle name="Moneda 2 4" xfId="12" xr:uid="{229C42C8-FB1F-4905-A29E-73925839F51B}"/>
    <cellStyle name="Moneda 3" xfId="5" xr:uid="{7F9AFBE0-F67B-47E9-98A6-6D13A325ECC9}"/>
    <cellStyle name="Moneda 3 2" xfId="9" xr:uid="{036C200D-117B-4BB4-B7A2-703C7408E35D}"/>
    <cellStyle name="Moneda 3 3" xfId="13" xr:uid="{7054BF7B-832E-4C87-BD15-B444142586AC}"/>
    <cellStyle name="Moneda 4" xfId="7" xr:uid="{19A6770C-970D-4F60-9807-6CB87992F426}"/>
    <cellStyle name="Moneda 5" xfId="11" xr:uid="{50785546-064E-4905-8FE6-19C18BB6B222}"/>
    <cellStyle name="Normal" xfId="0" builtinId="0"/>
    <cellStyle name="Normal 2" xfId="2" xr:uid="{49D2A1A7-CC77-4D20-B0E3-2566FCA2B05F}"/>
    <cellStyle name="Normal 2 2" xfId="4" xr:uid="{A584367E-F6E8-49D3-AAFB-DCB3F10959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003D6-2377-44FC-B40E-C32EAC8A6BE7}">
  <sheetPr codeName="Hoja1"/>
  <dimension ref="A1:Q104"/>
  <sheetViews>
    <sheetView tabSelected="1" topLeftCell="A72" zoomScale="90" zoomScaleNormal="90" workbookViewId="0">
      <selection activeCell="A82" sqref="A82"/>
    </sheetView>
  </sheetViews>
  <sheetFormatPr defaultColWidth="11.42578125" defaultRowHeight="14.25"/>
  <cols>
    <col min="1" max="1" width="4" style="7" customWidth="1"/>
    <col min="2" max="2" width="21.140625" style="7" bestFit="1" customWidth="1"/>
    <col min="3" max="3" width="24.42578125" style="7" customWidth="1"/>
    <col min="4" max="4" width="34.85546875" style="7" bestFit="1" customWidth="1"/>
    <col min="5" max="5" width="22.85546875" style="7" customWidth="1"/>
    <col min="6" max="6" width="10.140625" style="7" customWidth="1"/>
    <col min="7" max="7" width="11.5703125" style="7" bestFit="1" customWidth="1"/>
    <col min="8" max="8" width="23.28515625" style="7" bestFit="1" customWidth="1"/>
    <col min="9" max="9" width="13" style="7" bestFit="1" customWidth="1"/>
    <col min="10" max="10" width="29.42578125" style="7" bestFit="1" customWidth="1"/>
    <col min="11" max="11" width="12.85546875" style="7" bestFit="1" customWidth="1"/>
    <col min="12" max="12" width="23.42578125" style="7" customWidth="1"/>
    <col min="13" max="13" width="45.28515625" style="7" customWidth="1"/>
    <col min="14" max="14" width="11.140625" style="7" customWidth="1"/>
    <col min="15" max="15" width="9.5703125" style="7" customWidth="1"/>
    <col min="16" max="16" width="8.140625" style="7" customWidth="1"/>
    <col min="17" max="16384" width="11.42578125" style="7"/>
  </cols>
  <sheetData>
    <row r="1" spans="1:17" ht="15">
      <c r="A1" s="1"/>
      <c r="B1" s="2"/>
      <c r="C1" s="3"/>
      <c r="D1" s="3"/>
      <c r="E1" s="3"/>
      <c r="F1" s="3"/>
      <c r="G1" s="4"/>
      <c r="H1" s="3"/>
      <c r="I1" s="5"/>
      <c r="J1" s="3"/>
      <c r="K1" s="6"/>
      <c r="L1" s="3"/>
      <c r="M1" s="3"/>
      <c r="N1" s="3"/>
      <c r="O1" s="3"/>
      <c r="P1" s="6"/>
    </row>
    <row r="2" spans="1:17" s="8" customFormat="1" ht="19.5">
      <c r="A2" s="214" t="s">
        <v>0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</row>
    <row r="3" spans="1:17" s="9" customFormat="1" ht="17.649999999999999">
      <c r="A3" s="215" t="s">
        <v>1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</row>
    <row r="4" spans="1:17" s="15" customFormat="1" ht="15.75" customHeight="1">
      <c r="A4" s="10"/>
      <c r="B4" s="11" t="s">
        <v>2</v>
      </c>
      <c r="C4" s="11" t="s">
        <v>3</v>
      </c>
      <c r="D4" s="12" t="s">
        <v>4</v>
      </c>
      <c r="E4" s="11" t="s">
        <v>5</v>
      </c>
      <c r="F4" s="11" t="s">
        <v>6</v>
      </c>
      <c r="G4" s="13" t="s">
        <v>7</v>
      </c>
      <c r="H4" s="11" t="s">
        <v>8</v>
      </c>
      <c r="I4" s="14" t="s">
        <v>9</v>
      </c>
      <c r="J4" s="11" t="s">
        <v>10</v>
      </c>
      <c r="K4" s="11" t="s">
        <v>11</v>
      </c>
      <c r="L4" s="11" t="s">
        <v>12</v>
      </c>
      <c r="M4" s="11" t="s">
        <v>13</v>
      </c>
      <c r="N4" s="11" t="s">
        <v>14</v>
      </c>
      <c r="O4" s="11" t="s">
        <v>15</v>
      </c>
      <c r="P4" s="13" t="s">
        <v>16</v>
      </c>
    </row>
    <row r="5" spans="1:17" s="20" customFormat="1" ht="19.5" customHeight="1">
      <c r="A5" s="16" t="s">
        <v>17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8"/>
      <c r="O5" s="18"/>
      <c r="P5" s="17"/>
      <c r="Q5" s="19"/>
    </row>
    <row r="6" spans="1:17" s="23" customFormat="1" ht="13.15">
      <c r="A6" s="167">
        <v>1</v>
      </c>
      <c r="B6" s="168" t="s">
        <v>18</v>
      </c>
      <c r="C6" s="168" t="s">
        <v>19</v>
      </c>
      <c r="D6" s="168" t="s">
        <v>20</v>
      </c>
      <c r="E6" s="167" t="s">
        <v>21</v>
      </c>
      <c r="F6" s="169">
        <f t="shared" ref="F6:F40" si="0">G6/10.764</f>
        <v>10962.467484206616</v>
      </c>
      <c r="G6" s="169">
        <v>118000</v>
      </c>
      <c r="H6" s="167" t="s">
        <v>22</v>
      </c>
      <c r="I6" s="21" t="s">
        <v>23</v>
      </c>
      <c r="J6" s="167" t="s">
        <v>24</v>
      </c>
      <c r="K6" s="167">
        <v>10</v>
      </c>
      <c r="L6" s="168" t="s">
        <v>25</v>
      </c>
      <c r="M6" s="168" t="s">
        <v>26</v>
      </c>
      <c r="N6" s="170" t="s">
        <v>27</v>
      </c>
      <c r="O6" s="170" t="s">
        <v>28</v>
      </c>
      <c r="P6" s="167" t="s">
        <v>29</v>
      </c>
    </row>
    <row r="7" spans="1:17" s="23" customFormat="1" ht="13.15">
      <c r="A7" s="167">
        <v>2</v>
      </c>
      <c r="B7" s="168" t="s">
        <v>18</v>
      </c>
      <c r="C7" s="168" t="s">
        <v>30</v>
      </c>
      <c r="D7" s="168" t="s">
        <v>20</v>
      </c>
      <c r="E7" s="167" t="s">
        <v>21</v>
      </c>
      <c r="F7" s="169">
        <f>G7/10.764</f>
        <v>14579.431438127091</v>
      </c>
      <c r="G7" s="169">
        <v>156933</v>
      </c>
      <c r="H7" s="167" t="s">
        <v>22</v>
      </c>
      <c r="I7" s="21" t="s">
        <v>31</v>
      </c>
      <c r="J7" s="167" t="s">
        <v>24</v>
      </c>
      <c r="K7" s="167">
        <v>10</v>
      </c>
      <c r="L7" s="168" t="s">
        <v>25</v>
      </c>
      <c r="M7" s="168" t="s">
        <v>26</v>
      </c>
      <c r="N7" s="170" t="s">
        <v>32</v>
      </c>
      <c r="O7" s="170" t="s">
        <v>28</v>
      </c>
      <c r="P7" s="167" t="s">
        <v>29</v>
      </c>
    </row>
    <row r="8" spans="1:17" s="23" customFormat="1" ht="13.15">
      <c r="A8" s="167">
        <v>3</v>
      </c>
      <c r="B8" s="168" t="s">
        <v>18</v>
      </c>
      <c r="C8" s="168" t="s">
        <v>33</v>
      </c>
      <c r="D8" s="168" t="s">
        <v>34</v>
      </c>
      <c r="E8" s="167" t="s">
        <v>35</v>
      </c>
      <c r="F8" s="169">
        <f>G8/10.764</f>
        <v>4648.3649201040507</v>
      </c>
      <c r="G8" s="169">
        <v>50035</v>
      </c>
      <c r="H8" s="167" t="s">
        <v>36</v>
      </c>
      <c r="I8" s="21" t="s">
        <v>31</v>
      </c>
      <c r="J8" s="167" t="s">
        <v>37</v>
      </c>
      <c r="K8" s="167">
        <v>5</v>
      </c>
      <c r="L8" s="168" t="s">
        <v>38</v>
      </c>
      <c r="M8" s="168" t="s">
        <v>26</v>
      </c>
      <c r="N8" s="170" t="s">
        <v>32</v>
      </c>
      <c r="O8" s="170" t="s">
        <v>28</v>
      </c>
      <c r="P8" s="167" t="s">
        <v>29</v>
      </c>
    </row>
    <row r="9" spans="1:17" s="23" customFormat="1" ht="13.15">
      <c r="A9" s="167">
        <v>4</v>
      </c>
      <c r="B9" s="168" t="s">
        <v>18</v>
      </c>
      <c r="C9" s="168" t="s">
        <v>39</v>
      </c>
      <c r="D9" s="168" t="s">
        <v>40</v>
      </c>
      <c r="E9" s="167" t="s">
        <v>41</v>
      </c>
      <c r="F9" s="169">
        <f t="shared" si="0"/>
        <v>19554.998141954664</v>
      </c>
      <c r="G9" s="169">
        <v>210490</v>
      </c>
      <c r="H9" s="167" t="s">
        <v>42</v>
      </c>
      <c r="I9" s="21" t="s">
        <v>43</v>
      </c>
      <c r="J9" s="167" t="s">
        <v>44</v>
      </c>
      <c r="K9" s="167">
        <v>8</v>
      </c>
      <c r="L9" s="168" t="s">
        <v>25</v>
      </c>
      <c r="M9" s="168" t="s">
        <v>26</v>
      </c>
      <c r="N9" s="170" t="s">
        <v>45</v>
      </c>
      <c r="O9" s="170" t="s">
        <v>46</v>
      </c>
      <c r="P9" s="167" t="s">
        <v>47</v>
      </c>
    </row>
    <row r="10" spans="1:17" s="23" customFormat="1" ht="13.15">
      <c r="A10" s="167">
        <v>5</v>
      </c>
      <c r="B10" s="168" t="s">
        <v>18</v>
      </c>
      <c r="C10" s="168" t="s">
        <v>48</v>
      </c>
      <c r="D10" s="168" t="s">
        <v>49</v>
      </c>
      <c r="E10" s="167" t="s">
        <v>50</v>
      </c>
      <c r="F10" s="169">
        <f t="shared" si="0"/>
        <v>7000</v>
      </c>
      <c r="G10" s="169">
        <v>75348</v>
      </c>
      <c r="H10" s="167" t="s">
        <v>51</v>
      </c>
      <c r="I10" s="21" t="s">
        <v>52</v>
      </c>
      <c r="J10" s="167" t="s">
        <v>24</v>
      </c>
      <c r="K10" s="167">
        <v>7</v>
      </c>
      <c r="L10" s="168" t="s">
        <v>25</v>
      </c>
      <c r="M10" s="168" t="s">
        <v>26</v>
      </c>
      <c r="N10" s="168" t="s">
        <v>53</v>
      </c>
      <c r="O10" s="170" t="s">
        <v>28</v>
      </c>
      <c r="P10" s="167" t="s">
        <v>29</v>
      </c>
    </row>
    <row r="11" spans="1:17" s="23" customFormat="1" ht="13.15">
      <c r="A11" s="167">
        <v>6</v>
      </c>
      <c r="B11" s="168" t="s">
        <v>18</v>
      </c>
      <c r="C11" s="168" t="s">
        <v>54</v>
      </c>
      <c r="D11" s="168" t="s">
        <v>55</v>
      </c>
      <c r="E11" s="167" t="s">
        <v>50</v>
      </c>
      <c r="F11" s="169">
        <f t="shared" si="0"/>
        <v>11959.215904868079</v>
      </c>
      <c r="G11" s="169">
        <v>128729</v>
      </c>
      <c r="H11" s="167" t="s">
        <v>56</v>
      </c>
      <c r="I11" s="21" t="s">
        <v>57</v>
      </c>
      <c r="J11" s="167" t="s">
        <v>37</v>
      </c>
      <c r="K11" s="167">
        <v>5</v>
      </c>
      <c r="L11" s="168" t="s">
        <v>58</v>
      </c>
      <c r="M11" s="168" t="s">
        <v>59</v>
      </c>
      <c r="N11" s="168" t="s">
        <v>32</v>
      </c>
      <c r="O11" s="170" t="s">
        <v>28</v>
      </c>
      <c r="P11" s="167" t="s">
        <v>29</v>
      </c>
    </row>
    <row r="12" spans="1:17" s="23" customFormat="1" ht="13.15">
      <c r="A12" s="167">
        <v>7</v>
      </c>
      <c r="B12" s="168" t="s">
        <v>18</v>
      </c>
      <c r="C12" s="168" t="s">
        <v>60</v>
      </c>
      <c r="D12" s="168" t="s">
        <v>61</v>
      </c>
      <c r="E12" s="167" t="s">
        <v>62</v>
      </c>
      <c r="F12" s="169">
        <f t="shared" si="0"/>
        <v>7789.9479747305841</v>
      </c>
      <c r="G12" s="169">
        <v>83851</v>
      </c>
      <c r="H12" s="167" t="s">
        <v>63</v>
      </c>
      <c r="I12" s="21" t="s">
        <v>57</v>
      </c>
      <c r="J12" s="167" t="s">
        <v>64</v>
      </c>
      <c r="K12" s="167">
        <v>10</v>
      </c>
      <c r="L12" s="168" t="s">
        <v>25</v>
      </c>
      <c r="M12" s="168" t="s">
        <v>26</v>
      </c>
      <c r="N12" s="168" t="s">
        <v>32</v>
      </c>
      <c r="O12" s="170" t="s">
        <v>28</v>
      </c>
      <c r="P12" s="167" t="s">
        <v>29</v>
      </c>
    </row>
    <row r="13" spans="1:17" s="23" customFormat="1" ht="13.15">
      <c r="A13" s="167">
        <v>8</v>
      </c>
      <c r="B13" s="168" t="s">
        <v>18</v>
      </c>
      <c r="C13" s="168" t="s">
        <v>65</v>
      </c>
      <c r="D13" s="168" t="s">
        <v>66</v>
      </c>
      <c r="E13" s="167" t="s">
        <v>67</v>
      </c>
      <c r="F13" s="169">
        <f t="shared" si="0"/>
        <v>1670.0111482720179</v>
      </c>
      <c r="G13" s="169">
        <v>17976</v>
      </c>
      <c r="H13" s="167" t="s">
        <v>68</v>
      </c>
      <c r="I13" s="21" t="s">
        <v>43</v>
      </c>
      <c r="J13" s="167" t="s">
        <v>69</v>
      </c>
      <c r="K13" s="167">
        <v>3</v>
      </c>
      <c r="L13" s="168" t="s">
        <v>58</v>
      </c>
      <c r="M13" s="168" t="s">
        <v>59</v>
      </c>
      <c r="N13" s="168" t="s">
        <v>45</v>
      </c>
      <c r="O13" s="170" t="s">
        <v>46</v>
      </c>
      <c r="P13" s="167" t="s">
        <v>29</v>
      </c>
    </row>
    <row r="14" spans="1:17" s="23" customFormat="1" ht="13.15">
      <c r="A14" s="167">
        <v>9</v>
      </c>
      <c r="B14" s="168" t="s">
        <v>18</v>
      </c>
      <c r="C14" s="168" t="s">
        <v>70</v>
      </c>
      <c r="D14" s="168" t="s">
        <v>66</v>
      </c>
      <c r="E14" s="167" t="s">
        <v>67</v>
      </c>
      <c r="F14" s="169">
        <f t="shared" si="0"/>
        <v>1313.9167595689335</v>
      </c>
      <c r="G14" s="169">
        <v>14143</v>
      </c>
      <c r="H14" s="167" t="s">
        <v>71</v>
      </c>
      <c r="I14" s="21" t="s">
        <v>23</v>
      </c>
      <c r="J14" s="167" t="s">
        <v>72</v>
      </c>
      <c r="K14" s="167">
        <v>3</v>
      </c>
      <c r="L14" s="168" t="s">
        <v>25</v>
      </c>
      <c r="M14" s="168" t="s">
        <v>59</v>
      </c>
      <c r="N14" s="168" t="s">
        <v>45</v>
      </c>
      <c r="O14" s="170" t="s">
        <v>28</v>
      </c>
      <c r="P14" s="167" t="s">
        <v>29</v>
      </c>
    </row>
    <row r="15" spans="1:17" s="23" customFormat="1" ht="13.15">
      <c r="A15" s="167">
        <v>10</v>
      </c>
      <c r="B15" s="168" t="s">
        <v>18</v>
      </c>
      <c r="C15" s="168" t="s">
        <v>73</v>
      </c>
      <c r="D15" s="168" t="s">
        <v>66</v>
      </c>
      <c r="E15" s="167" t="s">
        <v>67</v>
      </c>
      <c r="F15" s="169">
        <f t="shared" si="0"/>
        <v>629.97027127461911</v>
      </c>
      <c r="G15" s="169">
        <v>6781</v>
      </c>
      <c r="H15" s="167" t="s">
        <v>74</v>
      </c>
      <c r="I15" s="21" t="s">
        <v>23</v>
      </c>
      <c r="J15" s="167" t="s">
        <v>72</v>
      </c>
      <c r="K15" s="167">
        <v>3</v>
      </c>
      <c r="L15" s="168" t="s">
        <v>58</v>
      </c>
      <c r="M15" s="168" t="s">
        <v>59</v>
      </c>
      <c r="N15" s="168" t="s">
        <v>75</v>
      </c>
      <c r="O15" s="170" t="s">
        <v>28</v>
      </c>
      <c r="P15" s="167" t="s">
        <v>29</v>
      </c>
    </row>
    <row r="16" spans="1:17" s="23" customFormat="1" ht="13.15">
      <c r="A16" s="167">
        <v>11</v>
      </c>
      <c r="B16" s="168" t="s">
        <v>18</v>
      </c>
      <c r="C16" s="168" t="s">
        <v>76</v>
      </c>
      <c r="D16" s="168" t="s">
        <v>77</v>
      </c>
      <c r="E16" s="167" t="s">
        <v>78</v>
      </c>
      <c r="F16" s="169">
        <f t="shared" si="0"/>
        <v>11952.898550724638</v>
      </c>
      <c r="G16" s="169">
        <v>128661</v>
      </c>
      <c r="H16" s="167" t="s">
        <v>79</v>
      </c>
      <c r="I16" s="21" t="s">
        <v>57</v>
      </c>
      <c r="J16" s="167" t="s">
        <v>72</v>
      </c>
      <c r="K16" s="167">
        <v>1</v>
      </c>
      <c r="L16" s="168" t="s">
        <v>58</v>
      </c>
      <c r="M16" s="168" t="s">
        <v>26</v>
      </c>
      <c r="N16" s="168" t="s">
        <v>45</v>
      </c>
      <c r="O16" s="170" t="s">
        <v>46</v>
      </c>
      <c r="P16" s="167" t="s">
        <v>29</v>
      </c>
    </row>
    <row r="17" spans="1:16" s="23" customFormat="1" ht="13.15">
      <c r="A17" s="167">
        <v>12</v>
      </c>
      <c r="B17" s="168" t="s">
        <v>18</v>
      </c>
      <c r="C17" s="168" t="s">
        <v>80</v>
      </c>
      <c r="D17" s="168" t="s">
        <v>81</v>
      </c>
      <c r="E17" s="167" t="s">
        <v>78</v>
      </c>
      <c r="F17" s="169">
        <f t="shared" si="0"/>
        <v>6967.6700111482724</v>
      </c>
      <c r="G17" s="169">
        <v>75000</v>
      </c>
      <c r="H17" s="167" t="s">
        <v>82</v>
      </c>
      <c r="I17" s="21" t="s">
        <v>31</v>
      </c>
      <c r="J17" s="167" t="s">
        <v>69</v>
      </c>
      <c r="K17" s="167">
        <v>5</v>
      </c>
      <c r="L17" s="168" t="s">
        <v>25</v>
      </c>
      <c r="M17" s="168" t="s">
        <v>59</v>
      </c>
      <c r="N17" s="168" t="s">
        <v>32</v>
      </c>
      <c r="O17" s="170" t="s">
        <v>28</v>
      </c>
      <c r="P17" s="167" t="s">
        <v>29</v>
      </c>
    </row>
    <row r="18" spans="1:16" s="23" customFormat="1" ht="13.15">
      <c r="A18" s="167">
        <v>13</v>
      </c>
      <c r="B18" s="168" t="s">
        <v>18</v>
      </c>
      <c r="C18" s="168" t="s">
        <v>83</v>
      </c>
      <c r="D18" s="168" t="s">
        <v>84</v>
      </c>
      <c r="E18" s="167" t="s">
        <v>85</v>
      </c>
      <c r="F18" s="169">
        <f t="shared" si="0"/>
        <v>1974.3589743589746</v>
      </c>
      <c r="G18" s="169">
        <v>21252</v>
      </c>
      <c r="H18" s="167" t="s">
        <v>86</v>
      </c>
      <c r="I18" s="21" t="s">
        <v>23</v>
      </c>
      <c r="J18" s="167" t="s">
        <v>72</v>
      </c>
      <c r="K18" s="167">
        <v>5</v>
      </c>
      <c r="L18" s="168" t="s">
        <v>25</v>
      </c>
      <c r="M18" s="168" t="s">
        <v>59</v>
      </c>
      <c r="N18" s="168" t="s">
        <v>87</v>
      </c>
      <c r="O18" s="170" t="s">
        <v>28</v>
      </c>
      <c r="P18" s="167" t="s">
        <v>47</v>
      </c>
    </row>
    <row r="19" spans="1:16" s="23" customFormat="1" ht="13.15">
      <c r="A19" s="167">
        <v>14</v>
      </c>
      <c r="B19" s="168" t="s">
        <v>18</v>
      </c>
      <c r="C19" s="168" t="s">
        <v>88</v>
      </c>
      <c r="D19" s="168" t="s">
        <v>89</v>
      </c>
      <c r="E19" s="167" t="s">
        <v>90</v>
      </c>
      <c r="F19" s="169">
        <f t="shared" si="0"/>
        <v>7045.8937198067633</v>
      </c>
      <c r="G19" s="169">
        <v>75842</v>
      </c>
      <c r="H19" s="167" t="s">
        <v>91</v>
      </c>
      <c r="I19" s="21" t="s">
        <v>57</v>
      </c>
      <c r="J19" s="167" t="s">
        <v>92</v>
      </c>
      <c r="K19" s="167" t="s">
        <v>93</v>
      </c>
      <c r="L19" s="168" t="s">
        <v>25</v>
      </c>
      <c r="M19" s="168" t="s">
        <v>59</v>
      </c>
      <c r="N19" s="168" t="s">
        <v>53</v>
      </c>
      <c r="O19" s="170" t="s">
        <v>46</v>
      </c>
      <c r="P19" s="167" t="s">
        <v>47</v>
      </c>
    </row>
    <row r="20" spans="1:16" s="23" customFormat="1" ht="13.15">
      <c r="A20" s="167">
        <v>15</v>
      </c>
      <c r="B20" s="168" t="s">
        <v>18</v>
      </c>
      <c r="C20" s="168" t="s">
        <v>94</v>
      </c>
      <c r="D20" s="168" t="s">
        <v>95</v>
      </c>
      <c r="E20" s="167" t="s">
        <v>90</v>
      </c>
      <c r="F20" s="169">
        <f t="shared" si="0"/>
        <v>1435.9903381642514</v>
      </c>
      <c r="G20" s="169">
        <v>15457</v>
      </c>
      <c r="H20" s="167" t="s">
        <v>96</v>
      </c>
      <c r="I20" s="21" t="s">
        <v>97</v>
      </c>
      <c r="J20" s="167" t="s">
        <v>24</v>
      </c>
      <c r="K20" s="167" t="s">
        <v>93</v>
      </c>
      <c r="L20" s="168" t="s">
        <v>58</v>
      </c>
      <c r="M20" s="168" t="s">
        <v>26</v>
      </c>
      <c r="N20" s="168" t="s">
        <v>32</v>
      </c>
      <c r="O20" s="170" t="s">
        <v>46</v>
      </c>
      <c r="P20" s="167" t="s">
        <v>29</v>
      </c>
    </row>
    <row r="21" spans="1:16" s="23" customFormat="1" ht="13.15">
      <c r="A21" s="167">
        <v>16</v>
      </c>
      <c r="B21" s="168" t="s">
        <v>18</v>
      </c>
      <c r="C21" s="168" t="s">
        <v>98</v>
      </c>
      <c r="D21" s="168" t="s">
        <v>95</v>
      </c>
      <c r="E21" s="167" t="s">
        <v>90</v>
      </c>
      <c r="F21" s="169">
        <f t="shared" si="0"/>
        <v>2871.9806763285028</v>
      </c>
      <c r="G21" s="169">
        <v>30914</v>
      </c>
      <c r="H21" s="167" t="s">
        <v>99</v>
      </c>
      <c r="I21" s="21" t="s">
        <v>97</v>
      </c>
      <c r="J21" s="167" t="s">
        <v>24</v>
      </c>
      <c r="K21" s="167" t="s">
        <v>93</v>
      </c>
      <c r="L21" s="168" t="s">
        <v>25</v>
      </c>
      <c r="M21" s="168" t="s">
        <v>59</v>
      </c>
      <c r="N21" s="168" t="s">
        <v>45</v>
      </c>
      <c r="O21" s="170" t="s">
        <v>46</v>
      </c>
      <c r="P21" s="167" t="s">
        <v>29</v>
      </c>
    </row>
    <row r="22" spans="1:16" s="23" customFormat="1" ht="13.15">
      <c r="A22" s="167">
        <v>17</v>
      </c>
      <c r="B22" s="168" t="s">
        <v>18</v>
      </c>
      <c r="C22" s="168" t="s">
        <v>100</v>
      </c>
      <c r="D22" s="168" t="s">
        <v>81</v>
      </c>
      <c r="E22" s="167" t="s">
        <v>101</v>
      </c>
      <c r="F22" s="169">
        <f t="shared" ref="F22" si="1">G22/10.764</f>
        <v>8046.5440356744712</v>
      </c>
      <c r="G22" s="169">
        <v>86613</v>
      </c>
      <c r="H22" s="167" t="s">
        <v>22</v>
      </c>
      <c r="I22" s="21" t="s">
        <v>23</v>
      </c>
      <c r="J22" s="167" t="s">
        <v>102</v>
      </c>
      <c r="K22" s="167">
        <v>5</v>
      </c>
      <c r="L22" s="168" t="s">
        <v>25</v>
      </c>
      <c r="M22" s="168" t="s">
        <v>59</v>
      </c>
      <c r="N22" s="168" t="s">
        <v>87</v>
      </c>
      <c r="O22" s="170" t="s">
        <v>28</v>
      </c>
      <c r="P22" s="167" t="s">
        <v>29</v>
      </c>
    </row>
    <row r="23" spans="1:16" s="23" customFormat="1" ht="13.15">
      <c r="A23" s="167">
        <v>18</v>
      </c>
      <c r="B23" s="168" t="s">
        <v>18</v>
      </c>
      <c r="C23" s="168" t="s">
        <v>103</v>
      </c>
      <c r="D23" s="168" t="s">
        <v>81</v>
      </c>
      <c r="E23" s="167" t="s">
        <v>101</v>
      </c>
      <c r="F23" s="169">
        <f>G23/10.764</f>
        <v>2888.3314752879974</v>
      </c>
      <c r="G23" s="169">
        <v>31090</v>
      </c>
      <c r="H23" s="167" t="s">
        <v>104</v>
      </c>
      <c r="I23" s="21" t="s">
        <v>57</v>
      </c>
      <c r="J23" s="167" t="s">
        <v>37</v>
      </c>
      <c r="K23" s="167">
        <v>3</v>
      </c>
      <c r="L23" s="168" t="s">
        <v>25</v>
      </c>
      <c r="M23" s="168" t="s">
        <v>26</v>
      </c>
      <c r="N23" s="168" t="s">
        <v>87</v>
      </c>
      <c r="O23" s="170" t="s">
        <v>28</v>
      </c>
      <c r="P23" s="167" t="s">
        <v>29</v>
      </c>
    </row>
    <row r="24" spans="1:16" s="23" customFormat="1" ht="13.15">
      <c r="A24" s="167">
        <v>19</v>
      </c>
      <c r="B24" s="168" t="s">
        <v>18</v>
      </c>
      <c r="C24" s="168" t="s">
        <v>105</v>
      </c>
      <c r="D24" s="168" t="s">
        <v>106</v>
      </c>
      <c r="E24" s="167" t="s">
        <v>107</v>
      </c>
      <c r="F24" s="169">
        <f>G24/10.764</f>
        <v>21383.965068747679</v>
      </c>
      <c r="G24" s="169">
        <v>230177</v>
      </c>
      <c r="H24" s="167" t="s">
        <v>22</v>
      </c>
      <c r="I24" s="21" t="s">
        <v>108</v>
      </c>
      <c r="J24" s="167" t="s">
        <v>64</v>
      </c>
      <c r="K24" s="167">
        <v>10</v>
      </c>
      <c r="L24" s="168" t="s">
        <v>58</v>
      </c>
      <c r="M24" s="168" t="s">
        <v>26</v>
      </c>
      <c r="N24" s="168" t="s">
        <v>45</v>
      </c>
      <c r="O24" s="170" t="s">
        <v>46</v>
      </c>
      <c r="P24" s="167" t="s">
        <v>29</v>
      </c>
    </row>
    <row r="25" spans="1:16" s="23" customFormat="1" ht="13.15">
      <c r="A25" s="167">
        <v>20</v>
      </c>
      <c r="B25" s="168" t="s">
        <v>18</v>
      </c>
      <c r="C25" s="168" t="s">
        <v>109</v>
      </c>
      <c r="D25" s="168" t="s">
        <v>110</v>
      </c>
      <c r="E25" s="167" t="s">
        <v>111</v>
      </c>
      <c r="F25" s="169">
        <f t="shared" si="0"/>
        <v>6320.9773318468979</v>
      </c>
      <c r="G25" s="169">
        <v>68039</v>
      </c>
      <c r="H25" s="167" t="s">
        <v>112</v>
      </c>
      <c r="I25" s="21" t="s">
        <v>57</v>
      </c>
      <c r="J25" s="167" t="s">
        <v>72</v>
      </c>
      <c r="K25" s="167">
        <v>10</v>
      </c>
      <c r="L25" s="168" t="s">
        <v>25</v>
      </c>
      <c r="M25" s="168" t="s">
        <v>59</v>
      </c>
      <c r="N25" s="168" t="s">
        <v>32</v>
      </c>
      <c r="O25" s="170" t="s">
        <v>28</v>
      </c>
      <c r="P25" s="167" t="s">
        <v>29</v>
      </c>
    </row>
    <row r="26" spans="1:16" s="23" customFormat="1" ht="13.15">
      <c r="A26" s="167">
        <v>21</v>
      </c>
      <c r="B26" s="168" t="s">
        <v>18</v>
      </c>
      <c r="C26" s="168" t="s">
        <v>113</v>
      </c>
      <c r="D26" s="168" t="s">
        <v>114</v>
      </c>
      <c r="E26" s="167" t="s">
        <v>111</v>
      </c>
      <c r="F26" s="169">
        <f t="shared" si="0"/>
        <v>7432.1813452248243</v>
      </c>
      <c r="G26" s="169">
        <v>80000</v>
      </c>
      <c r="H26" s="167" t="s">
        <v>22</v>
      </c>
      <c r="I26" s="21" t="s">
        <v>31</v>
      </c>
      <c r="J26" s="167" t="s">
        <v>24</v>
      </c>
      <c r="K26" s="167">
        <v>10</v>
      </c>
      <c r="L26" s="168" t="s">
        <v>25</v>
      </c>
      <c r="M26" s="168" t="s">
        <v>26</v>
      </c>
      <c r="N26" s="168" t="s">
        <v>115</v>
      </c>
      <c r="O26" s="170" t="s">
        <v>28</v>
      </c>
      <c r="P26" s="167" t="s">
        <v>29</v>
      </c>
    </row>
    <row r="27" spans="1:16" s="23" customFormat="1" ht="13.15">
      <c r="A27" s="167">
        <v>22</v>
      </c>
      <c r="B27" s="168" t="s">
        <v>18</v>
      </c>
      <c r="C27" s="168" t="s">
        <v>116</v>
      </c>
      <c r="D27" s="168" t="s">
        <v>110</v>
      </c>
      <c r="E27" s="167" t="s">
        <v>111</v>
      </c>
      <c r="F27" s="169">
        <f t="shared" si="0"/>
        <v>7110.925306577481</v>
      </c>
      <c r="G27" s="169">
        <v>76542</v>
      </c>
      <c r="H27" s="167" t="s">
        <v>117</v>
      </c>
      <c r="I27" s="21" t="s">
        <v>31</v>
      </c>
      <c r="J27" s="167" t="s">
        <v>118</v>
      </c>
      <c r="K27" s="167">
        <v>5</v>
      </c>
      <c r="L27" s="168" t="s">
        <v>58</v>
      </c>
      <c r="M27" s="168" t="s">
        <v>119</v>
      </c>
      <c r="N27" s="168" t="s">
        <v>32</v>
      </c>
      <c r="O27" s="170" t="s">
        <v>28</v>
      </c>
      <c r="P27" s="167" t="s">
        <v>29</v>
      </c>
    </row>
    <row r="28" spans="1:16" s="23" customFormat="1" ht="13.15">
      <c r="A28" s="167">
        <v>23</v>
      </c>
      <c r="B28" s="168" t="s">
        <v>18</v>
      </c>
      <c r="C28" s="168" t="s">
        <v>120</v>
      </c>
      <c r="D28" s="168" t="s">
        <v>114</v>
      </c>
      <c r="E28" s="167" t="s">
        <v>111</v>
      </c>
      <c r="F28" s="169">
        <f t="shared" si="0"/>
        <v>3042.3634336677815</v>
      </c>
      <c r="G28" s="169">
        <v>32748</v>
      </c>
      <c r="H28" s="167" t="s">
        <v>121</v>
      </c>
      <c r="I28" s="21" t="s">
        <v>31</v>
      </c>
      <c r="J28" s="167" t="s">
        <v>118</v>
      </c>
      <c r="K28" s="167">
        <v>3</v>
      </c>
      <c r="L28" s="168" t="s">
        <v>58</v>
      </c>
      <c r="M28" s="168" t="s">
        <v>122</v>
      </c>
      <c r="N28" s="168" t="s">
        <v>32</v>
      </c>
      <c r="O28" s="170" t="s">
        <v>46</v>
      </c>
      <c r="P28" s="167" t="s">
        <v>47</v>
      </c>
    </row>
    <row r="29" spans="1:16" s="23" customFormat="1" ht="13.15">
      <c r="A29" s="167">
        <v>24</v>
      </c>
      <c r="B29" s="168" t="s">
        <v>18</v>
      </c>
      <c r="C29" s="168" t="s">
        <v>123</v>
      </c>
      <c r="D29" s="168" t="s">
        <v>110</v>
      </c>
      <c r="E29" s="167" t="s">
        <v>111</v>
      </c>
      <c r="F29" s="169">
        <f t="shared" si="0"/>
        <v>11111.111111111111</v>
      </c>
      <c r="G29" s="169">
        <v>119600</v>
      </c>
      <c r="H29" s="167" t="s">
        <v>124</v>
      </c>
      <c r="I29" s="21" t="s">
        <v>31</v>
      </c>
      <c r="J29" s="167" t="s">
        <v>118</v>
      </c>
      <c r="K29" s="167">
        <v>5</v>
      </c>
      <c r="L29" s="168" t="s">
        <v>25</v>
      </c>
      <c r="M29" s="168" t="s">
        <v>59</v>
      </c>
      <c r="N29" s="168" t="s">
        <v>125</v>
      </c>
      <c r="O29" s="170" t="s">
        <v>28</v>
      </c>
      <c r="P29" s="167" t="s">
        <v>29</v>
      </c>
    </row>
    <row r="30" spans="1:16" s="23" customFormat="1" ht="13.15">
      <c r="A30" s="167">
        <v>25</v>
      </c>
      <c r="B30" s="168" t="s">
        <v>18</v>
      </c>
      <c r="C30" s="168" t="s">
        <v>126</v>
      </c>
      <c r="D30" s="168" t="s">
        <v>110</v>
      </c>
      <c r="E30" s="167" t="s">
        <v>111</v>
      </c>
      <c r="F30" s="169">
        <f t="shared" si="0"/>
        <v>28023.0397621702</v>
      </c>
      <c r="G30" s="169">
        <v>301640</v>
      </c>
      <c r="H30" s="167" t="s">
        <v>22</v>
      </c>
      <c r="I30" s="21" t="s">
        <v>127</v>
      </c>
      <c r="J30" s="167" t="s">
        <v>64</v>
      </c>
      <c r="K30" s="167">
        <v>10</v>
      </c>
      <c r="L30" s="168" t="s">
        <v>58</v>
      </c>
      <c r="M30" s="168" t="s">
        <v>26</v>
      </c>
      <c r="N30" s="168" t="s">
        <v>32</v>
      </c>
      <c r="O30" s="170" t="s">
        <v>28</v>
      </c>
      <c r="P30" s="167" t="s">
        <v>29</v>
      </c>
    </row>
    <row r="31" spans="1:16" s="23" customFormat="1" ht="13.15">
      <c r="A31" s="167">
        <v>26</v>
      </c>
      <c r="B31" s="168" t="s">
        <v>18</v>
      </c>
      <c r="C31" s="168" t="s">
        <v>128</v>
      </c>
      <c r="D31" s="168" t="s">
        <v>129</v>
      </c>
      <c r="E31" s="167" t="s">
        <v>111</v>
      </c>
      <c r="F31" s="169">
        <f t="shared" si="0"/>
        <v>4529.4500185804536</v>
      </c>
      <c r="G31" s="169">
        <v>48755</v>
      </c>
      <c r="H31" s="167" t="s">
        <v>130</v>
      </c>
      <c r="I31" s="21" t="s">
        <v>127</v>
      </c>
      <c r="J31" s="167" t="s">
        <v>24</v>
      </c>
      <c r="K31" s="167">
        <v>3</v>
      </c>
      <c r="L31" s="168" t="s">
        <v>131</v>
      </c>
      <c r="M31" s="168" t="s">
        <v>26</v>
      </c>
      <c r="N31" s="168" t="s">
        <v>32</v>
      </c>
      <c r="O31" s="170" t="s">
        <v>28</v>
      </c>
      <c r="P31" s="167" t="s">
        <v>29</v>
      </c>
    </row>
    <row r="32" spans="1:16" s="23" customFormat="1" ht="13.15">
      <c r="A32" s="167">
        <v>27</v>
      </c>
      <c r="B32" s="168" t="s">
        <v>18</v>
      </c>
      <c r="C32" s="168" t="s">
        <v>132</v>
      </c>
      <c r="D32" s="168" t="s">
        <v>133</v>
      </c>
      <c r="E32" s="167" t="s">
        <v>111</v>
      </c>
      <c r="F32" s="169">
        <f t="shared" si="0"/>
        <v>10006.503158677073</v>
      </c>
      <c r="G32" s="169">
        <v>107710</v>
      </c>
      <c r="H32" s="167" t="s">
        <v>134</v>
      </c>
      <c r="I32" s="21" t="s">
        <v>135</v>
      </c>
      <c r="J32" s="167" t="s">
        <v>136</v>
      </c>
      <c r="K32" s="167">
        <v>5</v>
      </c>
      <c r="L32" s="168" t="s">
        <v>58</v>
      </c>
      <c r="M32" s="168" t="s">
        <v>119</v>
      </c>
      <c r="N32" s="168" t="s">
        <v>45</v>
      </c>
      <c r="O32" s="170" t="s">
        <v>28</v>
      </c>
      <c r="P32" s="167" t="s">
        <v>29</v>
      </c>
    </row>
    <row r="33" spans="1:17" s="23" customFormat="1" ht="13.15">
      <c r="A33" s="167">
        <v>28</v>
      </c>
      <c r="B33" s="168" t="s">
        <v>18</v>
      </c>
      <c r="C33" s="168" t="s">
        <v>137</v>
      </c>
      <c r="D33" s="168" t="s">
        <v>138</v>
      </c>
      <c r="E33" s="167" t="s">
        <v>139</v>
      </c>
      <c r="F33" s="169">
        <f t="shared" si="0"/>
        <v>5759.9405425492387</v>
      </c>
      <c r="G33" s="169">
        <v>62000</v>
      </c>
      <c r="H33" s="167" t="s">
        <v>140</v>
      </c>
      <c r="I33" s="21" t="s">
        <v>52</v>
      </c>
      <c r="J33" s="167" t="s">
        <v>24</v>
      </c>
      <c r="K33" s="167">
        <v>3</v>
      </c>
      <c r="L33" s="168" t="s">
        <v>25</v>
      </c>
      <c r="M33" s="168" t="s">
        <v>26</v>
      </c>
      <c r="N33" s="168" t="s">
        <v>87</v>
      </c>
      <c r="O33" s="170" t="s">
        <v>28</v>
      </c>
      <c r="P33" s="167" t="s">
        <v>29</v>
      </c>
    </row>
    <row r="34" spans="1:17" s="23" customFormat="1" ht="13.15">
      <c r="A34" s="167">
        <v>29</v>
      </c>
      <c r="B34" s="168" t="s">
        <v>18</v>
      </c>
      <c r="C34" s="168" t="s">
        <v>141</v>
      </c>
      <c r="D34" s="168" t="s">
        <v>142</v>
      </c>
      <c r="E34" s="167" t="s">
        <v>139</v>
      </c>
      <c r="F34" s="169">
        <f t="shared" si="0"/>
        <v>3299.981419546637</v>
      </c>
      <c r="G34" s="169">
        <v>35521</v>
      </c>
      <c r="H34" s="167" t="s">
        <v>143</v>
      </c>
      <c r="I34" s="21" t="s">
        <v>43</v>
      </c>
      <c r="J34" s="167" t="s">
        <v>24</v>
      </c>
      <c r="K34" s="167">
        <v>10</v>
      </c>
      <c r="L34" s="168" t="s">
        <v>25</v>
      </c>
      <c r="M34" s="168" t="s">
        <v>26</v>
      </c>
      <c r="N34" s="168" t="s">
        <v>32</v>
      </c>
      <c r="O34" s="170" t="s">
        <v>28</v>
      </c>
      <c r="P34" s="167" t="s">
        <v>47</v>
      </c>
    </row>
    <row r="35" spans="1:17" s="23" customFormat="1" ht="13.15">
      <c r="A35" s="167">
        <v>30</v>
      </c>
      <c r="B35" s="168" t="s">
        <v>18</v>
      </c>
      <c r="C35" s="168" t="s">
        <v>144</v>
      </c>
      <c r="D35" s="168" t="s">
        <v>145</v>
      </c>
      <c r="E35" s="167" t="s">
        <v>146</v>
      </c>
      <c r="F35" s="169">
        <f t="shared" si="0"/>
        <v>4359.1601635079896</v>
      </c>
      <c r="G35" s="169">
        <v>46922</v>
      </c>
      <c r="H35" s="167" t="s">
        <v>147</v>
      </c>
      <c r="I35" s="21" t="s">
        <v>23</v>
      </c>
      <c r="J35" s="167" t="s">
        <v>37</v>
      </c>
      <c r="K35" s="167">
        <v>3</v>
      </c>
      <c r="L35" s="168" t="s">
        <v>25</v>
      </c>
      <c r="M35" s="168" t="s">
        <v>26</v>
      </c>
      <c r="N35" s="168" t="s">
        <v>148</v>
      </c>
      <c r="O35" s="170" t="s">
        <v>28</v>
      </c>
      <c r="P35" s="167" t="s">
        <v>29</v>
      </c>
    </row>
    <row r="36" spans="1:17" s="23" customFormat="1" ht="13.15">
      <c r="A36" s="167">
        <v>31</v>
      </c>
      <c r="B36" s="168" t="s">
        <v>18</v>
      </c>
      <c r="C36" s="168" t="s">
        <v>149</v>
      </c>
      <c r="D36" s="168" t="s">
        <v>145</v>
      </c>
      <c r="E36" s="167" t="s">
        <v>146</v>
      </c>
      <c r="F36" s="169">
        <f t="shared" si="0"/>
        <v>3125.1393534002232</v>
      </c>
      <c r="G36" s="169">
        <v>33639</v>
      </c>
      <c r="H36" s="167" t="s">
        <v>150</v>
      </c>
      <c r="I36" s="21" t="s">
        <v>31</v>
      </c>
      <c r="J36" s="167" t="s">
        <v>37</v>
      </c>
      <c r="K36" s="167">
        <v>5</v>
      </c>
      <c r="L36" s="168" t="s">
        <v>25</v>
      </c>
      <c r="M36" s="168" t="s">
        <v>122</v>
      </c>
      <c r="N36" s="168" t="s">
        <v>32</v>
      </c>
      <c r="O36" s="170" t="s">
        <v>28</v>
      </c>
      <c r="P36" s="167" t="s">
        <v>29</v>
      </c>
    </row>
    <row r="37" spans="1:17" s="23" customFormat="1" ht="13.15">
      <c r="A37" s="167">
        <v>32</v>
      </c>
      <c r="B37" s="168" t="s">
        <v>18</v>
      </c>
      <c r="C37" s="168" t="s">
        <v>151</v>
      </c>
      <c r="D37" s="168" t="s">
        <v>145</v>
      </c>
      <c r="E37" s="167" t="s">
        <v>146</v>
      </c>
      <c r="F37" s="169">
        <f t="shared" si="0"/>
        <v>13024.897807506504</v>
      </c>
      <c r="G37" s="169">
        <v>140200</v>
      </c>
      <c r="H37" s="167" t="s">
        <v>152</v>
      </c>
      <c r="I37" s="21" t="s">
        <v>97</v>
      </c>
      <c r="J37" s="167" t="s">
        <v>24</v>
      </c>
      <c r="K37" s="167">
        <v>3</v>
      </c>
      <c r="L37" s="168" t="s">
        <v>58</v>
      </c>
      <c r="M37" s="168" t="s">
        <v>122</v>
      </c>
      <c r="N37" s="168" t="s">
        <v>87</v>
      </c>
      <c r="O37" s="170" t="s">
        <v>28</v>
      </c>
      <c r="P37" s="167" t="s">
        <v>29</v>
      </c>
    </row>
    <row r="38" spans="1:17" s="23" customFormat="1" ht="13.15">
      <c r="A38" s="167">
        <v>33</v>
      </c>
      <c r="B38" s="168" t="s">
        <v>18</v>
      </c>
      <c r="C38" s="168" t="s">
        <v>144</v>
      </c>
      <c r="D38" s="168" t="s">
        <v>145</v>
      </c>
      <c r="E38" s="167" t="s">
        <v>146</v>
      </c>
      <c r="F38" s="169">
        <f t="shared" si="0"/>
        <v>9728.2608695652179</v>
      </c>
      <c r="G38" s="169">
        <v>104715</v>
      </c>
      <c r="H38" s="167" t="s">
        <v>22</v>
      </c>
      <c r="I38" s="21" t="s">
        <v>127</v>
      </c>
      <c r="J38" s="167" t="s">
        <v>37</v>
      </c>
      <c r="K38" s="167">
        <v>5</v>
      </c>
      <c r="L38" s="168" t="s">
        <v>25</v>
      </c>
      <c r="M38" s="168" t="s">
        <v>26</v>
      </c>
      <c r="N38" s="168" t="s">
        <v>148</v>
      </c>
      <c r="O38" s="170" t="s">
        <v>28</v>
      </c>
      <c r="P38" s="167" t="s">
        <v>29</v>
      </c>
    </row>
    <row r="39" spans="1:17" s="23" customFormat="1" ht="13.15">
      <c r="A39" s="167">
        <v>34</v>
      </c>
      <c r="B39" s="168" t="s">
        <v>18</v>
      </c>
      <c r="C39" s="168" t="s">
        <v>153</v>
      </c>
      <c r="D39" s="168" t="s">
        <v>154</v>
      </c>
      <c r="E39" s="167" t="s">
        <v>155</v>
      </c>
      <c r="F39" s="169">
        <f t="shared" si="0"/>
        <v>4848.7551096246752</v>
      </c>
      <c r="G39" s="169">
        <v>52192</v>
      </c>
      <c r="H39" s="167" t="s">
        <v>156</v>
      </c>
      <c r="I39" s="21" t="s">
        <v>97</v>
      </c>
      <c r="J39" s="167" t="s">
        <v>44</v>
      </c>
      <c r="K39" s="167">
        <v>3</v>
      </c>
      <c r="L39" s="168" t="s">
        <v>58</v>
      </c>
      <c r="M39" s="168" t="s">
        <v>26</v>
      </c>
      <c r="N39" s="168" t="s">
        <v>45</v>
      </c>
      <c r="O39" s="170" t="s">
        <v>46</v>
      </c>
      <c r="P39" s="167" t="s">
        <v>29</v>
      </c>
    </row>
    <row r="40" spans="1:17" s="23" customFormat="1" ht="13.15">
      <c r="A40" s="167">
        <v>35</v>
      </c>
      <c r="B40" s="168" t="s">
        <v>18</v>
      </c>
      <c r="C40" s="168" t="s">
        <v>157</v>
      </c>
      <c r="D40" s="168" t="s">
        <v>158</v>
      </c>
      <c r="E40" s="167" t="s">
        <v>155</v>
      </c>
      <c r="F40" s="169">
        <f t="shared" si="0"/>
        <v>9000</v>
      </c>
      <c r="G40" s="169">
        <v>96876</v>
      </c>
      <c r="H40" s="167" t="s">
        <v>159</v>
      </c>
      <c r="I40" s="21" t="s">
        <v>127</v>
      </c>
      <c r="J40" s="167" t="s">
        <v>24</v>
      </c>
      <c r="K40" s="167">
        <v>10</v>
      </c>
      <c r="L40" s="168" t="s">
        <v>25</v>
      </c>
      <c r="M40" s="168" t="s">
        <v>26</v>
      </c>
      <c r="N40" s="168" t="s">
        <v>32</v>
      </c>
      <c r="O40" s="170" t="s">
        <v>28</v>
      </c>
      <c r="P40" s="167" t="s">
        <v>29</v>
      </c>
    </row>
    <row r="41" spans="1:17" s="26" customFormat="1" ht="12.75" customHeight="1">
      <c r="A41" s="210" t="s">
        <v>160</v>
      </c>
      <c r="B41" s="210"/>
      <c r="C41" s="210"/>
      <c r="D41" s="210"/>
      <c r="E41" s="210"/>
      <c r="F41" s="24">
        <f>SUM(F6:F40)</f>
        <v>275398.64362690446</v>
      </c>
      <c r="G41" s="211">
        <f>SUM(G6:G40)</f>
        <v>2964391</v>
      </c>
      <c r="H41" s="211"/>
      <c r="I41" s="211"/>
      <c r="J41" s="211"/>
      <c r="K41" s="211"/>
      <c r="L41" s="211"/>
      <c r="M41" s="183"/>
      <c r="N41" s="183"/>
      <c r="O41" s="25"/>
      <c r="P41" s="183"/>
    </row>
    <row r="42" spans="1:17" s="29" customFormat="1" ht="18.75" customHeight="1">
      <c r="A42" s="16" t="s">
        <v>161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27"/>
      <c r="Q42" s="28"/>
    </row>
    <row r="43" spans="1:17" s="26" customFormat="1" ht="12.75" customHeight="1">
      <c r="A43" s="172">
        <v>1</v>
      </c>
      <c r="B43" s="170" t="s">
        <v>162</v>
      </c>
      <c r="C43" s="173" t="s">
        <v>163</v>
      </c>
      <c r="D43" s="173" t="s">
        <v>164</v>
      </c>
      <c r="E43" s="171" t="s">
        <v>165</v>
      </c>
      <c r="F43" s="171">
        <f t="shared" ref="F43:F50" si="2">G43/10.764</f>
        <v>21460.423634336679</v>
      </c>
      <c r="G43" s="171">
        <v>231000</v>
      </c>
      <c r="H43" s="172" t="s">
        <v>68</v>
      </c>
      <c r="I43" s="155" t="s">
        <v>31</v>
      </c>
      <c r="J43" s="156" t="s">
        <v>64</v>
      </c>
      <c r="K43" s="172">
        <v>4</v>
      </c>
      <c r="L43" s="173" t="s">
        <v>58</v>
      </c>
      <c r="M43" s="30" t="s">
        <v>26</v>
      </c>
      <c r="N43" s="30" t="s">
        <v>166</v>
      </c>
      <c r="O43" s="31" t="s">
        <v>28</v>
      </c>
      <c r="P43" s="171" t="s">
        <v>29</v>
      </c>
    </row>
    <row r="44" spans="1:17" s="26" customFormat="1" ht="12.75" customHeight="1">
      <c r="A44" s="172">
        <v>2</v>
      </c>
      <c r="B44" s="170" t="s">
        <v>162</v>
      </c>
      <c r="C44" s="173" t="s">
        <v>167</v>
      </c>
      <c r="D44" s="173" t="s">
        <v>168</v>
      </c>
      <c r="E44" s="171" t="s">
        <v>62</v>
      </c>
      <c r="F44" s="171">
        <f t="shared" si="2"/>
        <v>13601.077666295059</v>
      </c>
      <c r="G44" s="171">
        <v>146402</v>
      </c>
      <c r="H44" s="172" t="s">
        <v>169</v>
      </c>
      <c r="I44" s="155" t="s">
        <v>23</v>
      </c>
      <c r="J44" s="156" t="s">
        <v>170</v>
      </c>
      <c r="K44" s="172">
        <v>7</v>
      </c>
      <c r="L44" s="173" t="s">
        <v>25</v>
      </c>
      <c r="M44" s="30" t="s">
        <v>59</v>
      </c>
      <c r="N44" s="30" t="s">
        <v>32</v>
      </c>
      <c r="O44" s="31" t="s">
        <v>28</v>
      </c>
      <c r="P44" s="171" t="s">
        <v>29</v>
      </c>
    </row>
    <row r="45" spans="1:17" s="26" customFormat="1" ht="12.75" customHeight="1">
      <c r="A45" s="172">
        <v>3</v>
      </c>
      <c r="B45" s="170" t="s">
        <v>162</v>
      </c>
      <c r="C45" s="173" t="s">
        <v>171</v>
      </c>
      <c r="D45" s="173" t="s">
        <v>168</v>
      </c>
      <c r="E45" s="171" t="s">
        <v>62</v>
      </c>
      <c r="F45" s="171">
        <f t="shared" si="2"/>
        <v>23618.9149015236</v>
      </c>
      <c r="G45" s="171">
        <v>254234</v>
      </c>
      <c r="H45" s="172" t="s">
        <v>172</v>
      </c>
      <c r="I45" s="155" t="s">
        <v>31</v>
      </c>
      <c r="J45" s="156" t="s">
        <v>64</v>
      </c>
      <c r="K45" s="172">
        <v>10</v>
      </c>
      <c r="L45" s="173" t="s">
        <v>25</v>
      </c>
      <c r="M45" s="30" t="s">
        <v>26</v>
      </c>
      <c r="N45" s="30" t="s">
        <v>32</v>
      </c>
      <c r="O45" s="31" t="s">
        <v>28</v>
      </c>
      <c r="P45" s="171" t="s">
        <v>29</v>
      </c>
    </row>
    <row r="46" spans="1:17" s="26" customFormat="1" ht="12.75" customHeight="1">
      <c r="A46" s="172">
        <v>4</v>
      </c>
      <c r="B46" s="170" t="s">
        <v>162</v>
      </c>
      <c r="C46" s="173" t="s">
        <v>173</v>
      </c>
      <c r="D46" s="173" t="s">
        <v>174</v>
      </c>
      <c r="E46" s="171" t="s">
        <v>175</v>
      </c>
      <c r="F46" s="171">
        <f t="shared" si="2"/>
        <v>5574.1360089186182</v>
      </c>
      <c r="G46" s="171">
        <v>60000</v>
      </c>
      <c r="H46" s="172" t="s">
        <v>176</v>
      </c>
      <c r="I46" s="155" t="s">
        <v>31</v>
      </c>
      <c r="J46" s="156" t="s">
        <v>64</v>
      </c>
      <c r="K46" s="172">
        <v>3</v>
      </c>
      <c r="L46" s="173" t="s">
        <v>131</v>
      </c>
      <c r="M46" s="30" t="s">
        <v>26</v>
      </c>
      <c r="N46" s="30" t="s">
        <v>32</v>
      </c>
      <c r="O46" s="31" t="s">
        <v>28</v>
      </c>
      <c r="P46" s="171" t="s">
        <v>47</v>
      </c>
    </row>
    <row r="47" spans="1:17" s="26" customFormat="1" ht="12.75" customHeight="1">
      <c r="A47" s="172">
        <v>5</v>
      </c>
      <c r="B47" s="170" t="s">
        <v>162</v>
      </c>
      <c r="C47" s="173" t="s">
        <v>177</v>
      </c>
      <c r="D47" s="173" t="s">
        <v>174</v>
      </c>
      <c r="E47" s="171" t="s">
        <v>175</v>
      </c>
      <c r="F47" s="171">
        <f t="shared" si="2"/>
        <v>4197.0457079152729</v>
      </c>
      <c r="G47" s="171">
        <v>45177</v>
      </c>
      <c r="H47" s="172" t="s">
        <v>178</v>
      </c>
      <c r="I47" s="155" t="s">
        <v>31</v>
      </c>
      <c r="J47" s="156" t="s">
        <v>24</v>
      </c>
      <c r="K47" s="172">
        <v>3</v>
      </c>
      <c r="L47" s="173" t="s">
        <v>25</v>
      </c>
      <c r="M47" s="30" t="s">
        <v>26</v>
      </c>
      <c r="N47" s="30" t="s">
        <v>32</v>
      </c>
      <c r="O47" s="31" t="s">
        <v>28</v>
      </c>
      <c r="P47" s="171" t="s">
        <v>47</v>
      </c>
    </row>
    <row r="48" spans="1:17" s="26" customFormat="1" ht="12.75" customHeight="1">
      <c r="A48" s="172">
        <v>6</v>
      </c>
      <c r="B48" s="170" t="s">
        <v>162</v>
      </c>
      <c r="C48" s="173" t="s">
        <v>179</v>
      </c>
      <c r="D48" s="173" t="s">
        <v>180</v>
      </c>
      <c r="E48" s="171" t="s">
        <v>181</v>
      </c>
      <c r="F48" s="171">
        <f t="shared" si="2"/>
        <v>19012.634708286885</v>
      </c>
      <c r="G48" s="171">
        <v>204652</v>
      </c>
      <c r="H48" s="172" t="s">
        <v>68</v>
      </c>
      <c r="I48" s="155" t="s">
        <v>23</v>
      </c>
      <c r="J48" s="156" t="s">
        <v>72</v>
      </c>
      <c r="K48" s="172">
        <v>2</v>
      </c>
      <c r="L48" s="173" t="s">
        <v>25</v>
      </c>
      <c r="M48" s="30" t="s">
        <v>59</v>
      </c>
      <c r="N48" s="30" t="s">
        <v>32</v>
      </c>
      <c r="O48" s="31" t="s">
        <v>28</v>
      </c>
      <c r="P48" s="171" t="s">
        <v>29</v>
      </c>
    </row>
    <row r="49" spans="1:17" s="26" customFormat="1" ht="12.75" customHeight="1">
      <c r="A49" s="172">
        <v>7</v>
      </c>
      <c r="B49" s="170" t="s">
        <v>162</v>
      </c>
      <c r="C49" s="173" t="s">
        <v>182</v>
      </c>
      <c r="D49" s="173" t="s">
        <v>183</v>
      </c>
      <c r="E49" s="171" t="s">
        <v>107</v>
      </c>
      <c r="F49" s="171">
        <f t="shared" si="2"/>
        <v>5811.8729096989973</v>
      </c>
      <c r="G49" s="171">
        <v>62559</v>
      </c>
      <c r="H49" s="172" t="s">
        <v>22</v>
      </c>
      <c r="I49" s="155" t="s">
        <v>31</v>
      </c>
      <c r="J49" s="156" t="s">
        <v>64</v>
      </c>
      <c r="K49" s="172">
        <v>5</v>
      </c>
      <c r="L49" s="173" t="s">
        <v>25</v>
      </c>
      <c r="M49" s="30" t="s">
        <v>26</v>
      </c>
      <c r="N49" s="30" t="s">
        <v>32</v>
      </c>
      <c r="O49" s="31" t="s">
        <v>28</v>
      </c>
      <c r="P49" s="171" t="s">
        <v>29</v>
      </c>
    </row>
    <row r="50" spans="1:17" s="26" customFormat="1" ht="12.75" customHeight="1">
      <c r="A50" s="172">
        <v>8</v>
      </c>
      <c r="B50" s="170" t="s">
        <v>162</v>
      </c>
      <c r="C50" s="173" t="s">
        <v>184</v>
      </c>
      <c r="D50" s="173" t="s">
        <v>174</v>
      </c>
      <c r="E50" s="171" t="s">
        <v>155</v>
      </c>
      <c r="F50" s="171">
        <f t="shared" si="2"/>
        <v>10475.845410628021</v>
      </c>
      <c r="G50" s="171">
        <v>112762</v>
      </c>
      <c r="H50" s="172" t="s">
        <v>22</v>
      </c>
      <c r="I50" s="155" t="s">
        <v>97</v>
      </c>
      <c r="J50" s="156" t="s">
        <v>64</v>
      </c>
      <c r="K50" s="172">
        <v>20</v>
      </c>
      <c r="L50" s="173" t="s">
        <v>25</v>
      </c>
      <c r="M50" s="30" t="s">
        <v>59</v>
      </c>
      <c r="N50" s="30" t="s">
        <v>75</v>
      </c>
      <c r="O50" s="31" t="s">
        <v>28</v>
      </c>
      <c r="P50" s="171" t="s">
        <v>29</v>
      </c>
    </row>
    <row r="51" spans="1:17" s="26" customFormat="1" ht="12.75" customHeight="1">
      <c r="A51" s="210" t="s">
        <v>185</v>
      </c>
      <c r="B51" s="210"/>
      <c r="C51" s="210"/>
      <c r="D51" s="210"/>
      <c r="E51" s="210"/>
      <c r="F51" s="24">
        <f>SUM(F43:F50)</f>
        <v>103751.95094760314</v>
      </c>
      <c r="G51" s="211">
        <f>SUM(G43:G50)</f>
        <v>1116786</v>
      </c>
      <c r="H51" s="211"/>
      <c r="I51" s="211"/>
      <c r="J51" s="211"/>
      <c r="K51" s="211"/>
      <c r="L51" s="211"/>
      <c r="M51" s="183"/>
      <c r="N51" s="183"/>
      <c r="O51" s="25"/>
      <c r="P51" s="183"/>
    </row>
    <row r="52" spans="1:17" s="32" customFormat="1" ht="19.5" customHeight="1">
      <c r="A52" s="16" t="s">
        <v>186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27"/>
    </row>
    <row r="53" spans="1:17" s="23" customFormat="1" ht="12.75" customHeight="1">
      <c r="A53" s="174">
        <v>1</v>
      </c>
      <c r="B53" s="159" t="s">
        <v>187</v>
      </c>
      <c r="C53" s="168" t="s">
        <v>188</v>
      </c>
      <c r="D53" s="168" t="s">
        <v>189</v>
      </c>
      <c r="E53" s="167" t="s">
        <v>190</v>
      </c>
      <c r="F53" s="169">
        <f>G53/10.764</f>
        <v>6252.4154589371983</v>
      </c>
      <c r="G53" s="169">
        <v>67301</v>
      </c>
      <c r="H53" s="172" t="s">
        <v>191</v>
      </c>
      <c r="I53" s="175" t="s">
        <v>23</v>
      </c>
      <c r="J53" s="156" t="s">
        <v>37</v>
      </c>
      <c r="K53" s="172">
        <v>6</v>
      </c>
      <c r="L53" s="168" t="s">
        <v>25</v>
      </c>
      <c r="M53" s="30" t="s">
        <v>59</v>
      </c>
      <c r="N53" s="30" t="s">
        <v>32</v>
      </c>
      <c r="O53" s="22" t="s">
        <v>28</v>
      </c>
      <c r="P53" s="174" t="s">
        <v>29</v>
      </c>
    </row>
    <row r="54" spans="1:17" s="23" customFormat="1" ht="12.75" customHeight="1">
      <c r="A54" s="174">
        <v>2</v>
      </c>
      <c r="B54" s="159" t="s">
        <v>187</v>
      </c>
      <c r="C54" s="168" t="s">
        <v>192</v>
      </c>
      <c r="D54" s="168" t="s">
        <v>189</v>
      </c>
      <c r="E54" s="167" t="s">
        <v>190</v>
      </c>
      <c r="F54" s="169">
        <f>G54/10.764</f>
        <v>18792.82794500186</v>
      </c>
      <c r="G54" s="169">
        <v>202286</v>
      </c>
      <c r="H54" s="172" t="s">
        <v>193</v>
      </c>
      <c r="I54" s="175" t="s">
        <v>127</v>
      </c>
      <c r="J54" s="156" t="s">
        <v>37</v>
      </c>
      <c r="K54" s="172">
        <v>5</v>
      </c>
      <c r="L54" s="168" t="s">
        <v>25</v>
      </c>
      <c r="M54" s="30" t="s">
        <v>59</v>
      </c>
      <c r="N54" s="30" t="s">
        <v>194</v>
      </c>
      <c r="O54" s="22" t="s">
        <v>28</v>
      </c>
      <c r="P54" s="174" t="s">
        <v>29</v>
      </c>
    </row>
    <row r="55" spans="1:17" s="26" customFormat="1" ht="12.75" customHeight="1">
      <c r="A55" s="210" t="s">
        <v>195</v>
      </c>
      <c r="B55" s="210"/>
      <c r="C55" s="210"/>
      <c r="D55" s="210"/>
      <c r="E55" s="210"/>
      <c r="F55" s="24">
        <f>SUM(F53:F54)</f>
        <v>25045.243403939057</v>
      </c>
      <c r="G55" s="211">
        <f>SUM(G53:G54)</f>
        <v>269587</v>
      </c>
      <c r="H55" s="211"/>
      <c r="I55" s="211"/>
      <c r="J55" s="211"/>
      <c r="K55" s="211"/>
      <c r="L55" s="211"/>
      <c r="M55" s="183"/>
      <c r="N55" s="183"/>
      <c r="O55" s="25"/>
      <c r="P55" s="183"/>
    </row>
    <row r="56" spans="1:17" s="32" customFormat="1" ht="19.5" customHeight="1">
      <c r="A56" s="16" t="s">
        <v>196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27"/>
      <c r="Q56" s="33"/>
    </row>
    <row r="57" spans="1:17" s="23" customFormat="1" ht="12.75" customHeight="1">
      <c r="A57" s="172">
        <v>1</v>
      </c>
      <c r="B57" s="176" t="s">
        <v>197</v>
      </c>
      <c r="C57" s="176" t="s">
        <v>198</v>
      </c>
      <c r="D57" s="170" t="s">
        <v>199</v>
      </c>
      <c r="E57" s="171" t="s">
        <v>200</v>
      </c>
      <c r="F57" s="171">
        <f>G57/10.764</f>
        <v>8234.0208101077678</v>
      </c>
      <c r="G57" s="171">
        <v>88631</v>
      </c>
      <c r="H57" s="172" t="s">
        <v>201</v>
      </c>
      <c r="I57" s="177" t="s">
        <v>52</v>
      </c>
      <c r="J57" s="172" t="s">
        <v>202</v>
      </c>
      <c r="K57" s="167">
        <v>5</v>
      </c>
      <c r="L57" s="173" t="s">
        <v>58</v>
      </c>
      <c r="M57" s="173" t="s">
        <v>59</v>
      </c>
      <c r="N57" s="178" t="s">
        <v>45</v>
      </c>
      <c r="O57" s="178" t="s">
        <v>46</v>
      </c>
      <c r="P57" s="34" t="s">
        <v>29</v>
      </c>
    </row>
    <row r="58" spans="1:17" s="23" customFormat="1" ht="12.75" customHeight="1">
      <c r="A58" s="172">
        <v>2</v>
      </c>
      <c r="B58" s="176" t="s">
        <v>197</v>
      </c>
      <c r="C58" s="176" t="s">
        <v>203</v>
      </c>
      <c r="D58" s="170" t="s">
        <v>199</v>
      </c>
      <c r="E58" s="171" t="s">
        <v>200</v>
      </c>
      <c r="F58" s="171">
        <f>G58/10.764</f>
        <v>3130.9921962095877</v>
      </c>
      <c r="G58" s="171">
        <v>33702</v>
      </c>
      <c r="H58" s="172" t="s">
        <v>204</v>
      </c>
      <c r="I58" s="177" t="s">
        <v>108</v>
      </c>
      <c r="J58" s="172" t="s">
        <v>92</v>
      </c>
      <c r="K58" s="167">
        <v>3</v>
      </c>
      <c r="L58" s="173" t="s">
        <v>205</v>
      </c>
      <c r="M58" s="173" t="s">
        <v>122</v>
      </c>
      <c r="N58" s="178" t="s">
        <v>45</v>
      </c>
      <c r="O58" s="178" t="s">
        <v>46</v>
      </c>
      <c r="P58" s="34" t="s">
        <v>29</v>
      </c>
    </row>
    <row r="59" spans="1:17" s="26" customFormat="1" ht="12.75" customHeight="1">
      <c r="A59" s="210" t="s">
        <v>206</v>
      </c>
      <c r="B59" s="210"/>
      <c r="C59" s="210"/>
      <c r="D59" s="210"/>
      <c r="E59" s="210"/>
      <c r="F59" s="24">
        <f>SUM(F57:F58)</f>
        <v>11365.013006317356</v>
      </c>
      <c r="G59" s="211">
        <f>SUM(G57:G58)</f>
        <v>122333</v>
      </c>
      <c r="H59" s="211"/>
      <c r="I59" s="211"/>
      <c r="J59" s="211"/>
      <c r="K59" s="211"/>
      <c r="L59" s="211"/>
      <c r="M59" s="183"/>
      <c r="N59" s="183"/>
      <c r="O59" s="25"/>
      <c r="P59" s="183"/>
    </row>
    <row r="60" spans="1:17" s="32" customFormat="1" ht="19.5" customHeight="1">
      <c r="A60" s="16" t="s">
        <v>207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27"/>
      <c r="Q60" s="33"/>
    </row>
    <row r="61" spans="1:17" s="26" customFormat="1" ht="12.75" customHeight="1">
      <c r="A61" s="174">
        <v>1</v>
      </c>
      <c r="B61" s="159" t="s">
        <v>208</v>
      </c>
      <c r="C61" s="159" t="s">
        <v>209</v>
      </c>
      <c r="D61" s="160" t="s">
        <v>210</v>
      </c>
      <c r="E61" s="161" t="s">
        <v>78</v>
      </c>
      <c r="F61" s="161">
        <f t="shared" ref="F61:F66" si="3">G61/10.764</f>
        <v>14888.052768487552</v>
      </c>
      <c r="G61" s="171">
        <v>160255</v>
      </c>
      <c r="H61" s="172" t="s">
        <v>22</v>
      </c>
      <c r="I61" s="175" t="s">
        <v>57</v>
      </c>
      <c r="J61" s="174" t="s">
        <v>37</v>
      </c>
      <c r="K61" s="174">
        <v>15</v>
      </c>
      <c r="L61" s="179" t="s">
        <v>25</v>
      </c>
      <c r="M61" s="35" t="s">
        <v>26</v>
      </c>
      <c r="N61" s="35" t="s">
        <v>32</v>
      </c>
      <c r="O61" s="36" t="s">
        <v>28</v>
      </c>
      <c r="P61" s="174" t="s">
        <v>29</v>
      </c>
    </row>
    <row r="62" spans="1:17" s="26" customFormat="1" ht="12.75" customHeight="1">
      <c r="A62" s="174">
        <v>2</v>
      </c>
      <c r="B62" s="159" t="s">
        <v>208</v>
      </c>
      <c r="C62" s="159" t="s">
        <v>211</v>
      </c>
      <c r="D62" s="160" t="s">
        <v>212</v>
      </c>
      <c r="E62" s="161" t="s">
        <v>78</v>
      </c>
      <c r="F62" s="161">
        <f t="shared" si="3"/>
        <v>7547.1943515421781</v>
      </c>
      <c r="G62" s="171">
        <v>81238</v>
      </c>
      <c r="H62" s="172" t="s">
        <v>213</v>
      </c>
      <c r="I62" s="175" t="s">
        <v>23</v>
      </c>
      <c r="J62" s="174" t="s">
        <v>24</v>
      </c>
      <c r="K62" s="174">
        <v>3</v>
      </c>
      <c r="L62" s="179" t="s">
        <v>131</v>
      </c>
      <c r="M62" s="35" t="s">
        <v>214</v>
      </c>
      <c r="N62" s="35" t="s">
        <v>215</v>
      </c>
      <c r="O62" s="36" t="s">
        <v>28</v>
      </c>
      <c r="P62" s="174" t="s">
        <v>29</v>
      </c>
    </row>
    <row r="63" spans="1:17" s="26" customFormat="1" ht="12.75" customHeight="1">
      <c r="A63" s="174">
        <v>3</v>
      </c>
      <c r="B63" s="159" t="s">
        <v>208</v>
      </c>
      <c r="C63" s="159" t="s">
        <v>216</v>
      </c>
      <c r="D63" s="160" t="s">
        <v>217</v>
      </c>
      <c r="E63" s="161" t="s">
        <v>107</v>
      </c>
      <c r="F63" s="161">
        <f t="shared" si="3"/>
        <v>4866.4065403195837</v>
      </c>
      <c r="G63" s="171">
        <v>52382</v>
      </c>
      <c r="H63" s="172" t="s">
        <v>22</v>
      </c>
      <c r="I63" s="175" t="s">
        <v>57</v>
      </c>
      <c r="J63" s="174" t="s">
        <v>218</v>
      </c>
      <c r="K63" s="174">
        <v>7</v>
      </c>
      <c r="L63" s="179" t="s">
        <v>25</v>
      </c>
      <c r="M63" s="35" t="s">
        <v>59</v>
      </c>
      <c r="N63" s="35" t="s">
        <v>32</v>
      </c>
      <c r="O63" s="36" t="s">
        <v>28</v>
      </c>
      <c r="P63" s="174" t="s">
        <v>29</v>
      </c>
    </row>
    <row r="64" spans="1:17" s="26" customFormat="1" ht="12.75" customHeight="1">
      <c r="A64" s="174">
        <v>4</v>
      </c>
      <c r="B64" s="159" t="s">
        <v>208</v>
      </c>
      <c r="C64" s="159" t="s">
        <v>219</v>
      </c>
      <c r="D64" s="160" t="s">
        <v>220</v>
      </c>
      <c r="E64" s="161" t="s">
        <v>221</v>
      </c>
      <c r="F64" s="161">
        <f t="shared" si="3"/>
        <v>3234.0208101077669</v>
      </c>
      <c r="G64" s="171">
        <v>34811</v>
      </c>
      <c r="H64" s="172" t="s">
        <v>222</v>
      </c>
      <c r="I64" s="175" t="s">
        <v>97</v>
      </c>
      <c r="J64" s="174" t="s">
        <v>223</v>
      </c>
      <c r="K64" s="174">
        <v>5</v>
      </c>
      <c r="L64" s="179" t="s">
        <v>58</v>
      </c>
      <c r="M64" s="35" t="s">
        <v>59</v>
      </c>
      <c r="N64" s="35" t="s">
        <v>45</v>
      </c>
      <c r="O64" s="36" t="s">
        <v>28</v>
      </c>
      <c r="P64" s="174" t="s">
        <v>29</v>
      </c>
    </row>
    <row r="65" spans="1:16" s="26" customFormat="1" ht="12.75" customHeight="1">
      <c r="A65" s="174">
        <v>5</v>
      </c>
      <c r="B65" s="159" t="s">
        <v>208</v>
      </c>
      <c r="C65" s="159" t="s">
        <v>224</v>
      </c>
      <c r="D65" s="160" t="s">
        <v>225</v>
      </c>
      <c r="E65" s="161" t="s">
        <v>146</v>
      </c>
      <c r="F65" s="161">
        <f t="shared" si="3"/>
        <v>21631.921218877742</v>
      </c>
      <c r="G65" s="171">
        <v>232846</v>
      </c>
      <c r="H65" s="172" t="s">
        <v>22</v>
      </c>
      <c r="I65" s="175" t="s">
        <v>23</v>
      </c>
      <c r="J65" s="174" t="s">
        <v>24</v>
      </c>
      <c r="K65" s="174">
        <v>10</v>
      </c>
      <c r="L65" s="179" t="s">
        <v>25</v>
      </c>
      <c r="M65" s="35" t="s">
        <v>59</v>
      </c>
      <c r="N65" s="35" t="s">
        <v>45</v>
      </c>
      <c r="O65" s="36" t="s">
        <v>28</v>
      </c>
      <c r="P65" s="174" t="s">
        <v>29</v>
      </c>
    </row>
    <row r="66" spans="1:16" s="26" customFormat="1" ht="12.75" customHeight="1">
      <c r="A66" s="174">
        <v>6</v>
      </c>
      <c r="B66" s="159" t="s">
        <v>208</v>
      </c>
      <c r="C66" s="159" t="s">
        <v>226</v>
      </c>
      <c r="D66" s="160" t="s">
        <v>227</v>
      </c>
      <c r="E66" s="161" t="s">
        <v>155</v>
      </c>
      <c r="F66" s="161">
        <f t="shared" si="3"/>
        <v>23000</v>
      </c>
      <c r="G66" s="171">
        <v>247572</v>
      </c>
      <c r="H66" s="172" t="s">
        <v>228</v>
      </c>
      <c r="I66" s="175" t="s">
        <v>127</v>
      </c>
      <c r="J66" s="174" t="s">
        <v>72</v>
      </c>
      <c r="K66" s="174">
        <v>7</v>
      </c>
      <c r="L66" s="179" t="s">
        <v>25</v>
      </c>
      <c r="M66" s="35" t="s">
        <v>59</v>
      </c>
      <c r="N66" s="35" t="s">
        <v>32</v>
      </c>
      <c r="O66" s="36" t="s">
        <v>28</v>
      </c>
      <c r="P66" s="174" t="s">
        <v>29</v>
      </c>
    </row>
    <row r="67" spans="1:16" s="26" customFormat="1" ht="12.75">
      <c r="A67" s="210" t="s">
        <v>229</v>
      </c>
      <c r="B67" s="210"/>
      <c r="C67" s="210"/>
      <c r="D67" s="210"/>
      <c r="E67" s="210"/>
      <c r="F67" s="24">
        <f>SUM(F61:F66)</f>
        <v>75167.595689334819</v>
      </c>
      <c r="G67" s="211">
        <f>SUM(G61:G66)</f>
        <v>809104</v>
      </c>
      <c r="H67" s="211"/>
      <c r="I67" s="211"/>
      <c r="J67" s="211"/>
      <c r="K67" s="211"/>
      <c r="L67" s="211"/>
      <c r="M67" s="183"/>
      <c r="N67" s="183"/>
      <c r="O67" s="25"/>
      <c r="P67" s="183"/>
    </row>
    <row r="68" spans="1:16" s="29" customFormat="1" ht="20.25">
      <c r="A68" s="16" t="s">
        <v>230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27"/>
    </row>
    <row r="69" spans="1:16" s="37" customFormat="1" ht="13.5" customHeight="1">
      <c r="A69" s="172">
        <v>1</v>
      </c>
      <c r="B69" s="170" t="s">
        <v>231</v>
      </c>
      <c r="C69" s="170" t="s">
        <v>232</v>
      </c>
      <c r="D69" s="170" t="s">
        <v>233</v>
      </c>
      <c r="E69" s="172" t="s">
        <v>35</v>
      </c>
      <c r="F69" s="171">
        <f>G69/10.764</f>
        <v>3385.6373095503532</v>
      </c>
      <c r="G69" s="171">
        <v>36443</v>
      </c>
      <c r="H69" s="172" t="s">
        <v>234</v>
      </c>
      <c r="I69" s="155" t="s">
        <v>23</v>
      </c>
      <c r="J69" s="172" t="s">
        <v>24</v>
      </c>
      <c r="K69" s="172">
        <v>5</v>
      </c>
      <c r="L69" s="170" t="s">
        <v>25</v>
      </c>
      <c r="M69" s="45" t="s">
        <v>235</v>
      </c>
      <c r="N69" s="45" t="s">
        <v>45</v>
      </c>
      <c r="O69" s="46" t="s">
        <v>46</v>
      </c>
      <c r="P69" s="155" t="s">
        <v>47</v>
      </c>
    </row>
    <row r="70" spans="1:16" s="37" customFormat="1" ht="13.5" customHeight="1">
      <c r="A70" s="172">
        <v>2</v>
      </c>
      <c r="B70" s="170" t="s">
        <v>231</v>
      </c>
      <c r="C70" s="170" t="s">
        <v>236</v>
      </c>
      <c r="D70" s="170" t="s">
        <v>237</v>
      </c>
      <c r="E70" s="172" t="s">
        <v>90</v>
      </c>
      <c r="F70" s="171">
        <f>G70/10.764</f>
        <v>11230.955035302863</v>
      </c>
      <c r="G70" s="171">
        <v>120890</v>
      </c>
      <c r="H70" s="172" t="s">
        <v>238</v>
      </c>
      <c r="I70" s="155" t="s">
        <v>52</v>
      </c>
      <c r="J70" s="172" t="s">
        <v>239</v>
      </c>
      <c r="K70" s="172">
        <v>3</v>
      </c>
      <c r="L70" s="170" t="s">
        <v>58</v>
      </c>
      <c r="M70" s="45" t="s">
        <v>59</v>
      </c>
      <c r="N70" s="45" t="s">
        <v>45</v>
      </c>
      <c r="O70" s="46" t="s">
        <v>46</v>
      </c>
      <c r="P70" s="155" t="s">
        <v>47</v>
      </c>
    </row>
    <row r="71" spans="1:16" s="37" customFormat="1" ht="13.5" customHeight="1">
      <c r="A71" s="172">
        <v>3</v>
      </c>
      <c r="B71" s="170" t="s">
        <v>231</v>
      </c>
      <c r="C71" s="170" t="s">
        <v>240</v>
      </c>
      <c r="D71" s="170" t="s">
        <v>241</v>
      </c>
      <c r="E71" s="172" t="s">
        <v>90</v>
      </c>
      <c r="F71" s="171">
        <f>G71/10.764</f>
        <v>4804.9981419546639</v>
      </c>
      <c r="G71" s="171">
        <v>51721</v>
      </c>
      <c r="H71" s="172" t="s">
        <v>242</v>
      </c>
      <c r="I71" s="155" t="s">
        <v>97</v>
      </c>
      <c r="J71" s="172" t="s">
        <v>24</v>
      </c>
      <c r="K71" s="172" t="s">
        <v>93</v>
      </c>
      <c r="L71" s="170" t="s">
        <v>131</v>
      </c>
      <c r="M71" s="45" t="s">
        <v>122</v>
      </c>
      <c r="N71" s="45" t="s">
        <v>32</v>
      </c>
      <c r="O71" s="46" t="s">
        <v>46</v>
      </c>
      <c r="P71" s="155" t="s">
        <v>47</v>
      </c>
    </row>
    <row r="72" spans="1:16" s="26" customFormat="1" ht="12.75">
      <c r="A72" s="210" t="s">
        <v>243</v>
      </c>
      <c r="B72" s="213"/>
      <c r="C72" s="213"/>
      <c r="D72" s="213"/>
      <c r="E72" s="213"/>
      <c r="F72" s="191">
        <f>SUM(F69:F71)</f>
        <v>19421.59048680788</v>
      </c>
      <c r="G72" s="211">
        <f>SUM(G69:G71)</f>
        <v>209054</v>
      </c>
      <c r="H72" s="211"/>
      <c r="I72" s="211"/>
      <c r="J72" s="211"/>
      <c r="K72" s="211"/>
      <c r="L72" s="211"/>
      <c r="M72" s="211"/>
      <c r="N72" s="211"/>
      <c r="O72" s="211"/>
      <c r="P72" s="211"/>
    </row>
    <row r="73" spans="1:16" s="41" customFormat="1" ht="19.5">
      <c r="A73" s="16" t="s">
        <v>244</v>
      </c>
      <c r="B73" s="38"/>
      <c r="C73" s="38"/>
      <c r="D73" s="38"/>
      <c r="E73" s="38"/>
      <c r="F73" s="38"/>
      <c r="G73" s="39"/>
      <c r="H73" s="39"/>
      <c r="I73" s="39"/>
      <c r="J73" s="39"/>
      <c r="K73" s="39"/>
      <c r="L73" s="39"/>
      <c r="M73" s="39"/>
      <c r="N73" s="39"/>
      <c r="O73" s="39"/>
      <c r="P73" s="40"/>
    </row>
    <row r="74" spans="1:16" s="26" customFormat="1" ht="13.15">
      <c r="A74" s="172">
        <v>1</v>
      </c>
      <c r="B74" s="166" t="s">
        <v>245</v>
      </c>
      <c r="C74" s="173"/>
      <c r="D74" s="173"/>
      <c r="E74" s="171"/>
      <c r="F74" s="171"/>
      <c r="G74" s="171"/>
      <c r="H74" s="172"/>
      <c r="I74" s="155"/>
      <c r="J74" s="172"/>
      <c r="K74" s="172"/>
      <c r="L74" s="173"/>
      <c r="M74" s="173"/>
      <c r="N74" s="178"/>
      <c r="O74" s="178"/>
      <c r="P74" s="172"/>
    </row>
    <row r="75" spans="1:16" s="26" customFormat="1" ht="12.75">
      <c r="A75" s="210" t="s">
        <v>246</v>
      </c>
      <c r="B75" s="210"/>
      <c r="C75" s="210"/>
      <c r="D75" s="210"/>
      <c r="E75" s="210" t="s">
        <v>247</v>
      </c>
      <c r="F75" s="24">
        <f>SUM(F74:F74)</f>
        <v>0</v>
      </c>
      <c r="G75" s="211">
        <f>SUM(G74:G74)</f>
        <v>0</v>
      </c>
      <c r="H75" s="211"/>
      <c r="I75" s="211"/>
      <c r="J75" s="211"/>
      <c r="K75" s="211"/>
      <c r="L75" s="211"/>
      <c r="M75" s="183"/>
      <c r="N75" s="183"/>
      <c r="O75" s="183"/>
      <c r="P75" s="183"/>
    </row>
    <row r="76" spans="1:16" s="29" customFormat="1" ht="20.25">
      <c r="A76" s="16" t="s">
        <v>248</v>
      </c>
      <c r="B76" s="17"/>
      <c r="C76" s="17"/>
      <c r="D76" s="17"/>
      <c r="E76" s="44"/>
      <c r="F76" s="44"/>
      <c r="G76" s="17"/>
      <c r="H76" s="17"/>
      <c r="I76" s="17"/>
      <c r="J76" s="17"/>
      <c r="K76" s="17"/>
      <c r="L76" s="17"/>
      <c r="M76" s="17"/>
      <c r="N76" s="17"/>
      <c r="O76" s="17"/>
      <c r="P76" s="27"/>
    </row>
    <row r="77" spans="1:16" s="23" customFormat="1" ht="13.15">
      <c r="A77" s="172">
        <v>1</v>
      </c>
      <c r="B77" s="166" t="s">
        <v>249</v>
      </c>
      <c r="C77" s="173" t="s">
        <v>250</v>
      </c>
      <c r="D77" s="170" t="s">
        <v>251</v>
      </c>
      <c r="E77" s="172" t="s">
        <v>252</v>
      </c>
      <c r="F77" s="171">
        <f t="shared" ref="F77:F82" si="4">G77/10.764</f>
        <v>11055.927164622817</v>
      </c>
      <c r="G77" s="171">
        <v>119006</v>
      </c>
      <c r="H77" s="172" t="s">
        <v>253</v>
      </c>
      <c r="I77" s="155" t="s">
        <v>43</v>
      </c>
      <c r="J77" s="172" t="s">
        <v>254</v>
      </c>
      <c r="K77" s="172">
        <v>10</v>
      </c>
      <c r="L77" s="170" t="s">
        <v>58</v>
      </c>
      <c r="M77" s="45" t="s">
        <v>59</v>
      </c>
      <c r="N77" s="45" t="s">
        <v>45</v>
      </c>
      <c r="O77" s="46" t="s">
        <v>28</v>
      </c>
      <c r="P77" s="155" t="s">
        <v>29</v>
      </c>
    </row>
    <row r="78" spans="1:16" s="23" customFormat="1" ht="13.15">
      <c r="A78" s="172">
        <v>2</v>
      </c>
      <c r="B78" s="166" t="s">
        <v>249</v>
      </c>
      <c r="C78" s="173" t="s">
        <v>255</v>
      </c>
      <c r="D78" s="170" t="s">
        <v>256</v>
      </c>
      <c r="E78" s="172" t="s">
        <v>257</v>
      </c>
      <c r="F78" s="171">
        <f t="shared" si="4"/>
        <v>100012.17019695281</v>
      </c>
      <c r="G78" s="171">
        <v>1076531</v>
      </c>
      <c r="H78" s="172" t="s">
        <v>22</v>
      </c>
      <c r="I78" s="155" t="s">
        <v>31</v>
      </c>
      <c r="J78" s="172" t="s">
        <v>92</v>
      </c>
      <c r="K78" s="172">
        <v>20</v>
      </c>
      <c r="L78" s="170" t="s">
        <v>38</v>
      </c>
      <c r="M78" s="45" t="s">
        <v>59</v>
      </c>
      <c r="N78" s="45" t="s">
        <v>258</v>
      </c>
      <c r="O78" s="46" t="s">
        <v>28</v>
      </c>
      <c r="P78" s="155" t="s">
        <v>29</v>
      </c>
    </row>
    <row r="79" spans="1:16" s="23" customFormat="1" ht="13.15">
      <c r="A79" s="172">
        <v>3</v>
      </c>
      <c r="B79" s="166" t="s">
        <v>249</v>
      </c>
      <c r="C79" s="173" t="s">
        <v>259</v>
      </c>
      <c r="D79" s="170" t="s">
        <v>256</v>
      </c>
      <c r="E79" s="172" t="s">
        <v>257</v>
      </c>
      <c r="F79" s="171">
        <f t="shared" si="4"/>
        <v>8361.2040133779265</v>
      </c>
      <c r="G79" s="171">
        <v>90000</v>
      </c>
      <c r="H79" s="172" t="s">
        <v>22</v>
      </c>
      <c r="I79" s="155" t="s">
        <v>31</v>
      </c>
      <c r="J79" s="172" t="s">
        <v>24</v>
      </c>
      <c r="K79" s="172">
        <v>10</v>
      </c>
      <c r="L79" s="170" t="s">
        <v>25</v>
      </c>
      <c r="M79" s="45" t="s">
        <v>26</v>
      </c>
      <c r="N79" s="45" t="s">
        <v>45</v>
      </c>
      <c r="O79" s="46" t="s">
        <v>28</v>
      </c>
      <c r="P79" s="155" t="s">
        <v>29</v>
      </c>
    </row>
    <row r="80" spans="1:16" s="23" customFormat="1" ht="13.15">
      <c r="A80" s="172">
        <v>4</v>
      </c>
      <c r="B80" s="166" t="s">
        <v>249</v>
      </c>
      <c r="C80" s="173" t="s">
        <v>109</v>
      </c>
      <c r="D80" s="170" t="s">
        <v>256</v>
      </c>
      <c r="E80" s="172" t="s">
        <v>257</v>
      </c>
      <c r="F80" s="171">
        <f t="shared" si="4"/>
        <v>40133.779264214048</v>
      </c>
      <c r="G80" s="171">
        <v>432000</v>
      </c>
      <c r="H80" s="172" t="s">
        <v>260</v>
      </c>
      <c r="I80" s="155" t="s">
        <v>31</v>
      </c>
      <c r="J80" s="172" t="s">
        <v>72</v>
      </c>
      <c r="K80" s="172">
        <v>10</v>
      </c>
      <c r="L80" s="170" t="s">
        <v>25</v>
      </c>
      <c r="M80" s="45" t="s">
        <v>261</v>
      </c>
      <c r="N80" s="45" t="s">
        <v>32</v>
      </c>
      <c r="O80" s="46" t="s">
        <v>28</v>
      </c>
      <c r="P80" s="155" t="s">
        <v>29</v>
      </c>
    </row>
    <row r="81" spans="1:16" s="23" customFormat="1" ht="13.15">
      <c r="A81" s="172">
        <v>5</v>
      </c>
      <c r="B81" s="166" t="s">
        <v>249</v>
      </c>
      <c r="C81" s="173" t="s">
        <v>262</v>
      </c>
      <c r="D81" s="170" t="s">
        <v>263</v>
      </c>
      <c r="E81" s="172" t="s">
        <v>146</v>
      </c>
      <c r="F81" s="171">
        <f t="shared" si="4"/>
        <v>5076.6443701226317</v>
      </c>
      <c r="G81" s="171">
        <v>54645</v>
      </c>
      <c r="H81" s="172" t="s">
        <v>264</v>
      </c>
      <c r="I81" s="155" t="s">
        <v>31</v>
      </c>
      <c r="J81" s="172" t="s">
        <v>265</v>
      </c>
      <c r="K81" s="172">
        <v>3</v>
      </c>
      <c r="L81" s="170" t="s">
        <v>25</v>
      </c>
      <c r="M81" s="45" t="s">
        <v>26</v>
      </c>
      <c r="N81" s="45" t="s">
        <v>45</v>
      </c>
      <c r="O81" s="46" t="s">
        <v>28</v>
      </c>
      <c r="P81" s="155" t="s">
        <v>29</v>
      </c>
    </row>
    <row r="82" spans="1:16" s="23" customFormat="1" ht="13.15">
      <c r="A82" s="172">
        <v>6</v>
      </c>
      <c r="B82" s="166" t="s">
        <v>249</v>
      </c>
      <c r="C82" s="173" t="s">
        <v>266</v>
      </c>
      <c r="D82" s="170" t="s">
        <v>263</v>
      </c>
      <c r="E82" s="172" t="s">
        <v>146</v>
      </c>
      <c r="F82" s="171">
        <f t="shared" si="4"/>
        <v>17999.81419546637</v>
      </c>
      <c r="G82" s="171">
        <v>193750</v>
      </c>
      <c r="H82" s="172" t="s">
        <v>267</v>
      </c>
      <c r="I82" s="155" t="s">
        <v>127</v>
      </c>
      <c r="J82" s="172" t="s">
        <v>24</v>
      </c>
      <c r="K82" s="172">
        <v>5</v>
      </c>
      <c r="L82" s="170" t="s">
        <v>58</v>
      </c>
      <c r="M82" s="45" t="s">
        <v>122</v>
      </c>
      <c r="N82" s="45" t="s">
        <v>45</v>
      </c>
      <c r="O82" s="46" t="s">
        <v>46</v>
      </c>
      <c r="P82" s="155" t="s">
        <v>29</v>
      </c>
    </row>
    <row r="83" spans="1:16" s="26" customFormat="1" ht="12.75">
      <c r="A83" s="210" t="s">
        <v>268</v>
      </c>
      <c r="B83" s="210"/>
      <c r="C83" s="210"/>
      <c r="D83" s="210"/>
      <c r="E83" s="210"/>
      <c r="F83" s="24">
        <f>SUM(F77:F82)</f>
        <v>182639.53920475661</v>
      </c>
      <c r="G83" s="211">
        <f>SUM(G77:G82)</f>
        <v>1965932</v>
      </c>
      <c r="H83" s="211"/>
      <c r="I83" s="211"/>
      <c r="J83" s="211"/>
      <c r="K83" s="211"/>
      <c r="L83" s="211"/>
      <c r="M83" s="183"/>
      <c r="N83" s="183"/>
      <c r="O83" s="25"/>
      <c r="P83" s="183"/>
    </row>
    <row r="84" spans="1:16" s="29" customFormat="1" ht="20.25">
      <c r="A84" s="16" t="s">
        <v>269</v>
      </c>
      <c r="B84" s="17"/>
      <c r="C84" s="17"/>
      <c r="D84" s="17"/>
      <c r="E84" s="44"/>
      <c r="F84" s="44"/>
      <c r="G84" s="17"/>
      <c r="H84" s="17"/>
      <c r="I84" s="17"/>
      <c r="J84" s="17"/>
      <c r="K84" s="17"/>
      <c r="L84" s="17"/>
      <c r="M84" s="17"/>
      <c r="N84" s="17"/>
      <c r="O84" s="17"/>
      <c r="P84" s="27"/>
    </row>
    <row r="85" spans="1:16" s="23" customFormat="1" ht="13.15">
      <c r="A85" s="172">
        <v>1</v>
      </c>
      <c r="B85" s="176" t="s">
        <v>270</v>
      </c>
      <c r="C85" s="200" t="s">
        <v>271</v>
      </c>
      <c r="D85" s="176" t="s">
        <v>272</v>
      </c>
      <c r="E85" s="43" t="s">
        <v>273</v>
      </c>
      <c r="F85" s="42">
        <f>G85/10.761</f>
        <v>29724.746770746216</v>
      </c>
      <c r="G85" s="42">
        <v>319868</v>
      </c>
      <c r="H85" s="43" t="s">
        <v>22</v>
      </c>
      <c r="I85" s="155" t="s">
        <v>31</v>
      </c>
      <c r="J85" s="172" t="s">
        <v>64</v>
      </c>
      <c r="K85" s="172">
        <v>10</v>
      </c>
      <c r="L85" s="170" t="s">
        <v>25</v>
      </c>
      <c r="M85" s="45" t="s">
        <v>59</v>
      </c>
      <c r="N85" s="45" t="s">
        <v>32</v>
      </c>
      <c r="O85" s="46" t="s">
        <v>28</v>
      </c>
      <c r="P85" s="155" t="s">
        <v>29</v>
      </c>
    </row>
    <row r="86" spans="1:16" s="26" customFormat="1" ht="12.75">
      <c r="A86" s="210" t="s">
        <v>274</v>
      </c>
      <c r="B86" s="210"/>
      <c r="C86" s="210"/>
      <c r="D86" s="210"/>
      <c r="E86" s="210"/>
      <c r="F86" s="24">
        <f>SUM(F85:F85)</f>
        <v>29724.746770746216</v>
      </c>
      <c r="G86" s="211">
        <f>SUM(G85:G85)</f>
        <v>319868</v>
      </c>
      <c r="H86" s="211"/>
      <c r="I86" s="211"/>
      <c r="J86" s="211"/>
      <c r="K86" s="211"/>
      <c r="L86" s="211"/>
      <c r="M86" s="183"/>
      <c r="N86" s="183"/>
      <c r="O86" s="25"/>
      <c r="P86" s="183"/>
    </row>
    <row r="87" spans="1:16" s="51" customFormat="1" ht="15.4">
      <c r="A87" s="212" t="s">
        <v>275</v>
      </c>
      <c r="B87" s="212"/>
      <c r="C87" s="212"/>
      <c r="D87" s="212"/>
      <c r="E87" s="212"/>
      <c r="F87" s="47">
        <f>SUM(F41+F51+F55+F59+F67+F72+F75+F83+F86)</f>
        <v>722514.32313640951</v>
      </c>
      <c r="G87" s="13">
        <f>SUM(G41+G51+G55+G59+G67+G72+G75+G83+G86)</f>
        <v>7777055</v>
      </c>
      <c r="H87" s="48"/>
      <c r="I87" s="49"/>
      <c r="J87" s="48"/>
      <c r="K87" s="50"/>
      <c r="L87" s="48"/>
      <c r="M87" s="48"/>
      <c r="N87" s="48"/>
      <c r="O87" s="48"/>
      <c r="P87" s="50"/>
    </row>
    <row r="96" spans="1:16">
      <c r="C96"/>
      <c r="E96"/>
      <c r="G96"/>
    </row>
    <row r="97" spans="3:7">
      <c r="C97"/>
      <c r="E97"/>
    </row>
    <row r="100" spans="3:7">
      <c r="E100" s="189"/>
    </row>
    <row r="102" spans="3:7">
      <c r="E102" s="189"/>
    </row>
    <row r="104" spans="3:7">
      <c r="E104" s="189"/>
      <c r="G104"/>
    </row>
  </sheetData>
  <autoFilter ref="A4:P87" xr:uid="{CFD705E7-85D7-4836-B708-667FA81B297A}"/>
  <mergeCells count="21">
    <mergeCell ref="A2:P2"/>
    <mergeCell ref="A3:P3"/>
    <mergeCell ref="A41:E41"/>
    <mergeCell ref="G41:L41"/>
    <mergeCell ref="A51:E51"/>
    <mergeCell ref="G51:L51"/>
    <mergeCell ref="A55:E55"/>
    <mergeCell ref="G55:L55"/>
    <mergeCell ref="A59:E59"/>
    <mergeCell ref="G59:L59"/>
    <mergeCell ref="A67:E67"/>
    <mergeCell ref="G67:L67"/>
    <mergeCell ref="A86:E86"/>
    <mergeCell ref="G86:L86"/>
    <mergeCell ref="A87:E87"/>
    <mergeCell ref="A72:E72"/>
    <mergeCell ref="G72:P72"/>
    <mergeCell ref="A75:E75"/>
    <mergeCell ref="G75:L75"/>
    <mergeCell ref="A83:E83"/>
    <mergeCell ref="G83:L83"/>
  </mergeCells>
  <pageMargins left="0.70866141732283472" right="0.70866141732283472" top="0.74803149606299213" bottom="0.74803149606299213" header="0.31496062992125984" footer="0.31496062992125984"/>
  <pageSetup paperSize="17" scale="6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F92DD-58EB-44A2-9E17-E7794BDCBC32}">
  <sheetPr codeName="Hoja2"/>
  <dimension ref="A1:S94"/>
  <sheetViews>
    <sheetView showWhiteSpace="0" topLeftCell="A10" zoomScaleNormal="100" zoomScaleSheetLayoutView="90" workbookViewId="0">
      <selection activeCell="E9" sqref="E9"/>
    </sheetView>
  </sheetViews>
  <sheetFormatPr defaultColWidth="11.42578125" defaultRowHeight="14.25"/>
  <cols>
    <col min="1" max="1" width="3" customWidth="1"/>
    <col min="2" max="2" width="17.7109375" customWidth="1"/>
    <col min="3" max="3" width="27.7109375" customWidth="1"/>
    <col min="4" max="4" width="37.5703125" customWidth="1"/>
    <col min="5" max="5" width="22.42578125" customWidth="1"/>
    <col min="6" max="6" width="16.7109375" bestFit="1" customWidth="1"/>
    <col min="7" max="7" width="21" customWidth="1"/>
    <col min="8" max="8" width="13.5703125" customWidth="1"/>
    <col min="9" max="9" width="18" customWidth="1"/>
    <col min="10" max="10" width="34.42578125" customWidth="1"/>
    <col min="11" max="11" width="11.140625" customWidth="1"/>
  </cols>
  <sheetData>
    <row r="1" spans="1:19" s="54" customFormat="1" ht="21.75">
      <c r="A1" s="224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52"/>
      <c r="M1" s="52"/>
      <c r="N1" s="52"/>
      <c r="O1" s="52"/>
      <c r="P1" s="53"/>
      <c r="Q1" s="53"/>
      <c r="R1" s="53"/>
      <c r="S1" s="53"/>
    </row>
    <row r="2" spans="1:19" s="54" customFormat="1">
      <c r="A2" s="225" t="s">
        <v>276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53"/>
      <c r="M2" s="53"/>
      <c r="N2" s="53"/>
      <c r="O2" s="53"/>
      <c r="P2" s="53"/>
      <c r="Q2" s="53"/>
      <c r="R2" s="53"/>
      <c r="S2" s="53"/>
    </row>
    <row r="3" spans="1:19" s="56" customFormat="1" ht="15" customHeight="1">
      <c r="A3" s="186"/>
      <c r="B3" s="55"/>
    </row>
    <row r="4" spans="1:19" s="63" customFormat="1" ht="15" customHeight="1">
      <c r="A4" s="57"/>
      <c r="B4" s="58" t="s">
        <v>2</v>
      </c>
      <c r="C4" s="59" t="s">
        <v>277</v>
      </c>
      <c r="D4" s="59" t="s">
        <v>278</v>
      </c>
      <c r="E4" s="59" t="s">
        <v>5</v>
      </c>
      <c r="F4" s="59" t="s">
        <v>279</v>
      </c>
      <c r="G4" s="60" t="s">
        <v>280</v>
      </c>
      <c r="H4" s="61" t="s">
        <v>281</v>
      </c>
      <c r="I4" s="62" t="s">
        <v>282</v>
      </c>
      <c r="J4" s="59" t="s">
        <v>13</v>
      </c>
      <c r="K4" s="59" t="s">
        <v>283</v>
      </c>
      <c r="L4" s="56"/>
      <c r="M4" s="56"/>
      <c r="N4" s="56"/>
      <c r="O4" s="56"/>
      <c r="P4" s="56"/>
      <c r="Q4" s="56"/>
      <c r="R4" s="56"/>
      <c r="S4" s="56"/>
    </row>
    <row r="5" spans="1:19" s="54" customFormat="1" ht="15" customHeight="1">
      <c r="A5" s="153"/>
      <c r="B5" s="219" t="s">
        <v>17</v>
      </c>
      <c r="C5" s="220"/>
      <c r="D5" s="220"/>
      <c r="E5" s="220"/>
      <c r="F5" s="220"/>
      <c r="G5" s="220"/>
      <c r="H5" s="220"/>
      <c r="I5" s="220"/>
      <c r="J5" s="185"/>
      <c r="K5" s="64"/>
      <c r="L5" s="65"/>
      <c r="M5" s="66"/>
      <c r="N5" s="53"/>
      <c r="O5" s="53"/>
      <c r="P5" s="53"/>
      <c r="Q5" s="53"/>
      <c r="R5" s="53"/>
      <c r="S5" s="53"/>
    </row>
    <row r="6" spans="1:19" s="26" customFormat="1" ht="14.25" customHeight="1">
      <c r="A6" s="172">
        <v>1</v>
      </c>
      <c r="B6" s="206" t="s">
        <v>18</v>
      </c>
      <c r="C6" s="206" t="s">
        <v>284</v>
      </c>
      <c r="D6" s="206" t="s">
        <v>285</v>
      </c>
      <c r="E6" s="206" t="s">
        <v>35</v>
      </c>
      <c r="F6" s="171">
        <f>H6/10.764</f>
        <v>9290.2266815310304</v>
      </c>
      <c r="G6" s="171">
        <f>I6/10.764</f>
        <v>9290.2266815310304</v>
      </c>
      <c r="H6" s="158">
        <v>100000</v>
      </c>
      <c r="I6" s="158">
        <v>100000</v>
      </c>
      <c r="J6" s="164"/>
      <c r="K6" s="152" t="s">
        <v>29</v>
      </c>
    </row>
    <row r="7" spans="1:19" s="26" customFormat="1" ht="14.25" customHeight="1">
      <c r="A7" s="172">
        <v>2</v>
      </c>
      <c r="B7" s="173" t="s">
        <v>18</v>
      </c>
      <c r="C7" s="173" t="s">
        <v>286</v>
      </c>
      <c r="D7" s="163" t="s">
        <v>287</v>
      </c>
      <c r="E7" s="163" t="s">
        <v>50</v>
      </c>
      <c r="F7" s="171">
        <f>H7/10.764</f>
        <v>13000</v>
      </c>
      <c r="G7" s="171">
        <f t="shared" ref="G7" si="0">I7/10.764</f>
        <v>5000</v>
      </c>
      <c r="H7" s="158">
        <v>139932</v>
      </c>
      <c r="I7" s="158">
        <v>53820</v>
      </c>
      <c r="J7" s="164"/>
      <c r="K7" s="152" t="s">
        <v>29</v>
      </c>
    </row>
    <row r="8" spans="1:19" s="26" customFormat="1" ht="14.25" customHeight="1">
      <c r="A8" s="172">
        <v>3</v>
      </c>
      <c r="B8" s="206" t="s">
        <v>18</v>
      </c>
      <c r="C8" s="206" t="s">
        <v>51</v>
      </c>
      <c r="D8" s="206" t="s">
        <v>288</v>
      </c>
      <c r="E8" s="206" t="s">
        <v>289</v>
      </c>
      <c r="F8" s="158">
        <f t="shared" ref="F8:G23" si="1">H8/10.764</f>
        <v>15400.037160906728</v>
      </c>
      <c r="G8" s="158">
        <f t="shared" si="1"/>
        <v>4400.0371609067261</v>
      </c>
      <c r="H8" s="158">
        <v>165766</v>
      </c>
      <c r="I8" s="158">
        <v>47362</v>
      </c>
      <c r="J8" s="154"/>
      <c r="K8" s="152" t="s">
        <v>29</v>
      </c>
      <c r="L8" s="68"/>
    </row>
    <row r="9" spans="1:19" s="26" customFormat="1" ht="14.25" customHeight="1">
      <c r="A9" s="172">
        <v>4</v>
      </c>
      <c r="B9" s="173" t="s">
        <v>18</v>
      </c>
      <c r="C9" s="173" t="s">
        <v>63</v>
      </c>
      <c r="D9" s="173" t="s">
        <v>61</v>
      </c>
      <c r="E9" s="173" t="s">
        <v>62</v>
      </c>
      <c r="F9" s="158">
        <f t="shared" si="1"/>
        <v>13784.188034188035</v>
      </c>
      <c r="G9" s="158">
        <f>I9/10.764</f>
        <v>5994.240059457451</v>
      </c>
      <c r="H9" s="158">
        <v>148373</v>
      </c>
      <c r="I9" s="158">
        <v>64522</v>
      </c>
      <c r="J9" s="154"/>
      <c r="K9" s="152" t="s">
        <v>29</v>
      </c>
      <c r="L9" s="68"/>
    </row>
    <row r="10" spans="1:19" s="26" customFormat="1" ht="14.25" customHeight="1">
      <c r="A10" s="172">
        <v>5</v>
      </c>
      <c r="B10" s="173" t="s">
        <v>18</v>
      </c>
      <c r="C10" s="173" t="s">
        <v>290</v>
      </c>
      <c r="D10" s="173" t="s">
        <v>291</v>
      </c>
      <c r="E10" s="173" t="s">
        <v>62</v>
      </c>
      <c r="F10" s="158">
        <f>H10/10.764</f>
        <v>14790.876997398738</v>
      </c>
      <c r="G10" s="158">
        <f>I10/10.764</f>
        <v>14790.876997398738</v>
      </c>
      <c r="H10" s="158">
        <v>159209</v>
      </c>
      <c r="I10" s="158">
        <v>159209</v>
      </c>
      <c r="J10" s="154"/>
      <c r="K10" s="152" t="s">
        <v>29</v>
      </c>
      <c r="L10" s="68"/>
    </row>
    <row r="11" spans="1:19" s="26" customFormat="1" ht="14.25" customHeight="1">
      <c r="A11" s="172">
        <v>6</v>
      </c>
      <c r="B11" s="206" t="s">
        <v>18</v>
      </c>
      <c r="C11" s="206" t="s">
        <v>292</v>
      </c>
      <c r="D11" s="206" t="s">
        <v>106</v>
      </c>
      <c r="E11" s="206" t="s">
        <v>175</v>
      </c>
      <c r="F11" s="158">
        <f t="shared" si="1"/>
        <v>11803.418803418805</v>
      </c>
      <c r="G11" s="67">
        <f t="shared" si="1"/>
        <v>11803.418803418805</v>
      </c>
      <c r="H11" s="158">
        <v>127052</v>
      </c>
      <c r="I11" s="158">
        <v>127052</v>
      </c>
      <c r="J11" s="154"/>
      <c r="K11" s="152" t="s">
        <v>29</v>
      </c>
      <c r="L11" s="68"/>
    </row>
    <row r="12" spans="1:19" s="26" customFormat="1" ht="14.25" customHeight="1">
      <c r="A12" s="172">
        <v>7</v>
      </c>
      <c r="B12" s="206" t="s">
        <v>18</v>
      </c>
      <c r="C12" s="206" t="s">
        <v>293</v>
      </c>
      <c r="D12" s="206" t="s">
        <v>294</v>
      </c>
      <c r="E12" s="206" t="s">
        <v>175</v>
      </c>
      <c r="F12" s="158">
        <f t="shared" si="1"/>
        <v>9000.2787068004473</v>
      </c>
      <c r="G12" s="67">
        <f t="shared" si="1"/>
        <v>7710.888145670755</v>
      </c>
      <c r="H12" s="158">
        <v>96879</v>
      </c>
      <c r="I12" s="158">
        <v>83000</v>
      </c>
      <c r="J12" s="154"/>
      <c r="K12" s="152" t="s">
        <v>47</v>
      </c>
      <c r="L12" s="68"/>
    </row>
    <row r="13" spans="1:19" s="26" customFormat="1" ht="14.25" customHeight="1">
      <c r="A13" s="172">
        <v>8</v>
      </c>
      <c r="B13" s="206" t="s">
        <v>18</v>
      </c>
      <c r="C13" s="206" t="s">
        <v>295</v>
      </c>
      <c r="D13" s="206" t="s">
        <v>296</v>
      </c>
      <c r="E13" s="206" t="s">
        <v>257</v>
      </c>
      <c r="F13" s="171">
        <f t="shared" si="1"/>
        <v>11845.039018952064</v>
      </c>
      <c r="G13" s="171">
        <f t="shared" si="1"/>
        <v>4180.6020066889632</v>
      </c>
      <c r="H13" s="171">
        <v>127500</v>
      </c>
      <c r="I13" s="171">
        <v>45000</v>
      </c>
      <c r="J13" s="42"/>
      <c r="K13" s="152" t="s">
        <v>47</v>
      </c>
      <c r="L13" s="68"/>
    </row>
    <row r="14" spans="1:19" s="26" customFormat="1" ht="14.25" customHeight="1">
      <c r="A14" s="172">
        <v>9</v>
      </c>
      <c r="B14" s="206" t="s">
        <v>18</v>
      </c>
      <c r="C14" s="206" t="s">
        <v>297</v>
      </c>
      <c r="D14" s="206" t="s">
        <v>106</v>
      </c>
      <c r="E14" s="206" t="s">
        <v>257</v>
      </c>
      <c r="F14" s="171">
        <f t="shared" si="1"/>
        <v>12476.588628762542</v>
      </c>
      <c r="G14" s="171">
        <f>I14/10.764</f>
        <v>12476.588628762542</v>
      </c>
      <c r="H14" s="171">
        <v>134298</v>
      </c>
      <c r="I14" s="171">
        <v>134298</v>
      </c>
      <c r="J14" s="42"/>
      <c r="K14" s="152" t="s">
        <v>29</v>
      </c>
      <c r="L14" s="68"/>
    </row>
    <row r="15" spans="1:19" s="26" customFormat="1" ht="13.15">
      <c r="A15" s="172">
        <v>10</v>
      </c>
      <c r="B15" s="173" t="s">
        <v>18</v>
      </c>
      <c r="C15" s="170" t="s">
        <v>298</v>
      </c>
      <c r="D15" s="170" t="s">
        <v>66</v>
      </c>
      <c r="E15" s="170" t="s">
        <v>299</v>
      </c>
      <c r="F15" s="171">
        <f t="shared" si="1"/>
        <v>38225.009290226684</v>
      </c>
      <c r="G15" s="67">
        <f t="shared" si="1"/>
        <v>24477.610553697512</v>
      </c>
      <c r="H15" s="171">
        <v>411454</v>
      </c>
      <c r="I15" s="171">
        <v>263477</v>
      </c>
      <c r="J15" s="171"/>
      <c r="K15" s="152" t="s">
        <v>29</v>
      </c>
      <c r="L15" s="69"/>
      <c r="M15" s="180"/>
      <c r="N15" s="180"/>
      <c r="O15" s="180"/>
    </row>
    <row r="16" spans="1:19" s="26" customFormat="1" ht="13.15">
      <c r="A16" s="172">
        <v>11</v>
      </c>
      <c r="B16" s="206" t="s">
        <v>18</v>
      </c>
      <c r="C16" s="207" t="s">
        <v>82</v>
      </c>
      <c r="D16" s="207" t="s">
        <v>81</v>
      </c>
      <c r="E16" s="207" t="s">
        <v>78</v>
      </c>
      <c r="F16" s="171">
        <f t="shared" si="1"/>
        <v>18580.453363062061</v>
      </c>
      <c r="G16" s="158">
        <f>I16/10.764</f>
        <v>11612.783351913788</v>
      </c>
      <c r="H16" s="171">
        <v>200000</v>
      </c>
      <c r="I16" s="171">
        <v>125000</v>
      </c>
      <c r="J16" s="171"/>
      <c r="K16" s="152" t="s">
        <v>29</v>
      </c>
      <c r="L16" s="69"/>
      <c r="O16" s="180"/>
    </row>
    <row r="17" spans="1:15" s="26" customFormat="1" ht="13.15">
      <c r="A17" s="172">
        <v>12</v>
      </c>
      <c r="B17" s="173" t="s">
        <v>18</v>
      </c>
      <c r="C17" s="173" t="s">
        <v>300</v>
      </c>
      <c r="D17" s="173" t="s">
        <v>301</v>
      </c>
      <c r="E17" s="173" t="s">
        <v>302</v>
      </c>
      <c r="F17" s="171">
        <f t="shared" si="1"/>
        <v>9010.3121516164992</v>
      </c>
      <c r="G17" s="171">
        <f t="shared" ref="G17:G19" si="2">I17/10.764</f>
        <v>9010.3121516164992</v>
      </c>
      <c r="H17" s="158">
        <v>96987</v>
      </c>
      <c r="I17" s="158">
        <v>96987</v>
      </c>
      <c r="J17" s="42"/>
      <c r="K17" s="152" t="s">
        <v>47</v>
      </c>
      <c r="L17" s="69"/>
      <c r="O17" s="180"/>
    </row>
    <row r="18" spans="1:15" s="26" customFormat="1" ht="13.15">
      <c r="A18" s="172">
        <v>13</v>
      </c>
      <c r="B18" s="173" t="s">
        <v>18</v>
      </c>
      <c r="C18" s="173" t="s">
        <v>303</v>
      </c>
      <c r="D18" s="163" t="s">
        <v>84</v>
      </c>
      <c r="E18" s="163" t="s">
        <v>85</v>
      </c>
      <c r="F18" s="171">
        <f t="shared" si="1"/>
        <v>2028.985507246377</v>
      </c>
      <c r="G18" s="171">
        <f t="shared" si="2"/>
        <v>2028.985507246377</v>
      </c>
      <c r="H18" s="158">
        <v>21840</v>
      </c>
      <c r="I18" s="158">
        <v>21840</v>
      </c>
      <c r="J18" s="164"/>
      <c r="K18" s="152" t="s">
        <v>47</v>
      </c>
      <c r="L18" s="69"/>
      <c r="O18" s="180"/>
    </row>
    <row r="19" spans="1:15" s="26" customFormat="1" ht="13.15">
      <c r="A19" s="172">
        <v>14</v>
      </c>
      <c r="B19" s="173" t="s">
        <v>18</v>
      </c>
      <c r="C19" s="173" t="s">
        <v>304</v>
      </c>
      <c r="D19" s="163" t="s">
        <v>305</v>
      </c>
      <c r="E19" s="163" t="s">
        <v>90</v>
      </c>
      <c r="F19" s="171">
        <f t="shared" si="1"/>
        <v>2069.0263842437757</v>
      </c>
      <c r="G19" s="171">
        <f t="shared" si="2"/>
        <v>2069.0263842437757</v>
      </c>
      <c r="H19" s="158">
        <v>22271</v>
      </c>
      <c r="I19" s="158">
        <v>22271</v>
      </c>
      <c r="J19" s="164"/>
      <c r="K19" s="152" t="s">
        <v>29</v>
      </c>
      <c r="L19" s="69"/>
      <c r="O19" s="180"/>
    </row>
    <row r="20" spans="1:15" s="26" customFormat="1" ht="14.1" customHeight="1">
      <c r="A20" s="172">
        <v>15</v>
      </c>
      <c r="B20" s="206" t="s">
        <v>18</v>
      </c>
      <c r="C20" s="206" t="s">
        <v>306</v>
      </c>
      <c r="D20" s="206" t="s">
        <v>307</v>
      </c>
      <c r="E20" s="206" t="s">
        <v>90</v>
      </c>
      <c r="F20" s="171">
        <f t="shared" ref="F20" si="3">H20/10.764</f>
        <v>18727.982162764773</v>
      </c>
      <c r="G20" s="171">
        <f t="shared" si="1"/>
        <v>18727.982162764773</v>
      </c>
      <c r="H20" s="158">
        <v>201588</v>
      </c>
      <c r="I20" s="158">
        <v>201588</v>
      </c>
      <c r="J20" s="42"/>
      <c r="K20" s="152" t="s">
        <v>47</v>
      </c>
      <c r="L20" s="165"/>
    </row>
    <row r="21" spans="1:15" s="26" customFormat="1" ht="14.1" customHeight="1">
      <c r="A21" s="172">
        <v>16</v>
      </c>
      <c r="B21" s="206" t="s">
        <v>18</v>
      </c>
      <c r="C21" s="206" t="s">
        <v>308</v>
      </c>
      <c r="D21" s="206" t="s">
        <v>307</v>
      </c>
      <c r="E21" s="206" t="s">
        <v>90</v>
      </c>
      <c r="F21" s="171">
        <f t="shared" ref="F21:G36" si="4">H21/10.764</f>
        <v>11301.839464882944</v>
      </c>
      <c r="G21" s="171">
        <f t="shared" si="1"/>
        <v>11301.839464882944</v>
      </c>
      <c r="H21" s="158">
        <v>121653</v>
      </c>
      <c r="I21" s="158">
        <v>121653</v>
      </c>
      <c r="J21" s="42"/>
      <c r="K21" s="152" t="s">
        <v>47</v>
      </c>
      <c r="L21" s="165"/>
    </row>
    <row r="22" spans="1:15" s="26" customFormat="1" ht="14.1" customHeight="1">
      <c r="A22" s="172">
        <v>17</v>
      </c>
      <c r="B22" s="206" t="s">
        <v>18</v>
      </c>
      <c r="C22" s="206" t="s">
        <v>309</v>
      </c>
      <c r="D22" s="206" t="s">
        <v>307</v>
      </c>
      <c r="E22" s="206" t="s">
        <v>90</v>
      </c>
      <c r="F22" s="171">
        <f t="shared" si="4"/>
        <v>8447.4173169825353</v>
      </c>
      <c r="G22" s="171">
        <f t="shared" si="1"/>
        <v>8447.4173169825353</v>
      </c>
      <c r="H22" s="158">
        <v>90928</v>
      </c>
      <c r="I22" s="158">
        <v>90928</v>
      </c>
      <c r="J22" s="42"/>
      <c r="K22" s="152" t="s">
        <v>47</v>
      </c>
      <c r="L22" s="165"/>
    </row>
    <row r="23" spans="1:15" s="26" customFormat="1" ht="14.1" customHeight="1">
      <c r="A23" s="172">
        <v>18</v>
      </c>
      <c r="B23" s="206" t="s">
        <v>18</v>
      </c>
      <c r="C23" s="206" t="s">
        <v>310</v>
      </c>
      <c r="D23" s="206" t="s">
        <v>307</v>
      </c>
      <c r="E23" s="206" t="s">
        <v>90</v>
      </c>
      <c r="F23" s="171">
        <f t="shared" si="4"/>
        <v>8447.4173169825353</v>
      </c>
      <c r="G23" s="171">
        <f t="shared" si="1"/>
        <v>8447.4173169825353</v>
      </c>
      <c r="H23" s="158">
        <v>90928</v>
      </c>
      <c r="I23" s="158">
        <v>90928</v>
      </c>
      <c r="J23" s="42"/>
      <c r="K23" s="152" t="s">
        <v>47</v>
      </c>
      <c r="L23" s="165"/>
    </row>
    <row r="24" spans="1:15" s="26" customFormat="1" ht="14.1" customHeight="1">
      <c r="A24" s="172">
        <v>19</v>
      </c>
      <c r="B24" s="173" t="s">
        <v>18</v>
      </c>
      <c r="C24" s="173" t="s">
        <v>311</v>
      </c>
      <c r="D24" s="173" t="s">
        <v>312</v>
      </c>
      <c r="E24" s="173" t="s">
        <v>90</v>
      </c>
      <c r="F24" s="171">
        <f t="shared" si="4"/>
        <v>13846.989966555186</v>
      </c>
      <c r="G24" s="171">
        <f t="shared" si="4"/>
        <v>4281.9583797844671</v>
      </c>
      <c r="H24" s="158">
        <v>149049</v>
      </c>
      <c r="I24" s="158">
        <v>46091</v>
      </c>
      <c r="J24" s="42"/>
      <c r="K24" s="152" t="s">
        <v>47</v>
      </c>
      <c r="L24" s="165"/>
      <c r="M24" s="190"/>
    </row>
    <row r="25" spans="1:15" s="26" customFormat="1" ht="14.1" customHeight="1">
      <c r="A25" s="172">
        <v>20</v>
      </c>
      <c r="B25" s="206" t="s">
        <v>18</v>
      </c>
      <c r="C25" s="206" t="s">
        <v>159</v>
      </c>
      <c r="D25" s="206" t="s">
        <v>313</v>
      </c>
      <c r="E25" s="206" t="s">
        <v>314</v>
      </c>
      <c r="F25" s="171">
        <f t="shared" si="4"/>
        <v>7043.9427722036426</v>
      </c>
      <c r="G25" s="171">
        <f t="shared" si="4"/>
        <v>3521.9249349684133</v>
      </c>
      <c r="H25" s="158">
        <v>75821</v>
      </c>
      <c r="I25" s="158">
        <v>37910</v>
      </c>
      <c r="J25" s="42"/>
      <c r="K25" s="152" t="s">
        <v>29</v>
      </c>
      <c r="L25" s="165"/>
      <c r="M25" s="190"/>
    </row>
    <row r="26" spans="1:15" s="26" customFormat="1" ht="14.1" customHeight="1">
      <c r="A26" s="172">
        <v>21</v>
      </c>
      <c r="B26" s="206" t="s">
        <v>18</v>
      </c>
      <c r="C26" s="206" t="s">
        <v>315</v>
      </c>
      <c r="D26" s="206" t="s">
        <v>313</v>
      </c>
      <c r="E26" s="206" t="s">
        <v>314</v>
      </c>
      <c r="F26" s="171">
        <f t="shared" si="4"/>
        <v>9975.8454106280205</v>
      </c>
      <c r="G26" s="171">
        <f t="shared" si="4"/>
        <v>9975.8454106280205</v>
      </c>
      <c r="H26" s="158">
        <v>107380</v>
      </c>
      <c r="I26" s="158">
        <v>107380</v>
      </c>
      <c r="J26" s="42"/>
      <c r="K26" s="152" t="s">
        <v>29</v>
      </c>
      <c r="L26" s="165"/>
      <c r="M26" s="190"/>
    </row>
    <row r="27" spans="1:15" s="26" customFormat="1" ht="14.1" customHeight="1">
      <c r="A27" s="172">
        <v>22</v>
      </c>
      <c r="B27" s="173" t="s">
        <v>18</v>
      </c>
      <c r="C27" s="173" t="s">
        <v>316</v>
      </c>
      <c r="D27" s="163" t="s">
        <v>317</v>
      </c>
      <c r="E27" s="163" t="s">
        <v>318</v>
      </c>
      <c r="F27" s="171">
        <f t="shared" si="4"/>
        <v>9985.9717577108895</v>
      </c>
      <c r="G27" s="171">
        <f t="shared" si="4"/>
        <v>9985.9717577108895</v>
      </c>
      <c r="H27" s="158">
        <v>107489</v>
      </c>
      <c r="I27" s="158">
        <v>107489</v>
      </c>
      <c r="J27" s="164"/>
      <c r="K27" s="152" t="s">
        <v>47</v>
      </c>
      <c r="L27" s="165"/>
    </row>
    <row r="28" spans="1:15" s="26" customFormat="1" ht="14.1" customHeight="1">
      <c r="A28" s="172">
        <v>23</v>
      </c>
      <c r="B28" s="173" t="s">
        <v>18</v>
      </c>
      <c r="C28" s="173" t="s">
        <v>319</v>
      </c>
      <c r="D28" s="163" t="s">
        <v>317</v>
      </c>
      <c r="E28" s="163" t="s">
        <v>318</v>
      </c>
      <c r="F28" s="171">
        <f t="shared" si="4"/>
        <v>2878.0193236714977</v>
      </c>
      <c r="G28" s="171">
        <f t="shared" si="4"/>
        <v>2878.0193236714977</v>
      </c>
      <c r="H28" s="158">
        <v>30979</v>
      </c>
      <c r="I28" s="158">
        <v>30979</v>
      </c>
      <c r="J28" s="164"/>
      <c r="K28" s="152" t="s">
        <v>47</v>
      </c>
      <c r="L28" s="165"/>
    </row>
    <row r="29" spans="1:15" s="26" customFormat="1" ht="14.1" customHeight="1">
      <c r="A29" s="172">
        <v>24</v>
      </c>
      <c r="B29" s="173" t="s">
        <v>18</v>
      </c>
      <c r="C29" s="173" t="s">
        <v>320</v>
      </c>
      <c r="D29" s="163" t="s">
        <v>317</v>
      </c>
      <c r="E29" s="163" t="s">
        <v>318</v>
      </c>
      <c r="F29" s="171">
        <f t="shared" si="4"/>
        <v>1438.9632107023413</v>
      </c>
      <c r="G29" s="171">
        <f t="shared" si="4"/>
        <v>1438.9632107023413</v>
      </c>
      <c r="H29" s="158">
        <v>15489</v>
      </c>
      <c r="I29" s="158">
        <v>15489</v>
      </c>
      <c r="J29" s="164"/>
      <c r="K29" s="152" t="s">
        <v>47</v>
      </c>
      <c r="L29" s="165"/>
    </row>
    <row r="30" spans="1:15" s="26" customFormat="1" ht="14.1" customHeight="1">
      <c r="A30" s="172">
        <v>25</v>
      </c>
      <c r="B30" s="173" t="s">
        <v>18</v>
      </c>
      <c r="C30" s="173" t="s">
        <v>321</v>
      </c>
      <c r="D30" s="173" t="s">
        <v>322</v>
      </c>
      <c r="E30" s="173" t="s">
        <v>111</v>
      </c>
      <c r="F30" s="171">
        <f t="shared" si="4"/>
        <v>19302.768487551097</v>
      </c>
      <c r="G30" s="171">
        <f t="shared" si="4"/>
        <v>8319.9554069119295</v>
      </c>
      <c r="H30" s="158">
        <v>207775</v>
      </c>
      <c r="I30" s="158">
        <v>89556</v>
      </c>
      <c r="J30" s="42"/>
      <c r="K30" s="152" t="s">
        <v>29</v>
      </c>
      <c r="L30" s="165"/>
    </row>
    <row r="31" spans="1:15" s="26" customFormat="1" ht="14.1" customHeight="1">
      <c r="A31" s="172">
        <v>26</v>
      </c>
      <c r="B31" s="206" t="s">
        <v>18</v>
      </c>
      <c r="C31" s="206" t="s">
        <v>124</v>
      </c>
      <c r="D31" s="206" t="s">
        <v>322</v>
      </c>
      <c r="E31" s="206" t="s">
        <v>111</v>
      </c>
      <c r="F31" s="171">
        <f t="shared" si="4"/>
        <v>22259.383128948346</v>
      </c>
      <c r="G31" s="171">
        <f t="shared" si="4"/>
        <v>11148.272017837236</v>
      </c>
      <c r="H31" s="158">
        <v>239600</v>
      </c>
      <c r="I31" s="158">
        <v>120000</v>
      </c>
      <c r="J31" s="42"/>
      <c r="K31" s="152" t="s">
        <v>29</v>
      </c>
      <c r="L31" s="165"/>
    </row>
    <row r="32" spans="1:15" s="26" customFormat="1" ht="13.15">
      <c r="A32" s="172">
        <v>27</v>
      </c>
      <c r="B32" s="173" t="s">
        <v>18</v>
      </c>
      <c r="C32" s="173" t="s">
        <v>323</v>
      </c>
      <c r="D32" s="163" t="s">
        <v>324</v>
      </c>
      <c r="E32" s="163" t="s">
        <v>146</v>
      </c>
      <c r="F32" s="171">
        <f t="shared" si="4"/>
        <v>3994.7974730583428</v>
      </c>
      <c r="G32" s="171">
        <f t="shared" si="4"/>
        <v>3994.7974730583428</v>
      </c>
      <c r="H32" s="158">
        <v>43000</v>
      </c>
      <c r="I32" s="158">
        <v>43000</v>
      </c>
      <c r="J32" s="164"/>
      <c r="K32" s="152" t="s">
        <v>29</v>
      </c>
      <c r="L32" s="180"/>
      <c r="M32" s="180"/>
      <c r="N32" s="180"/>
    </row>
    <row r="33" spans="1:19" s="26" customFormat="1" ht="13.15">
      <c r="A33" s="172">
        <v>28</v>
      </c>
      <c r="B33" s="206" t="s">
        <v>18</v>
      </c>
      <c r="C33" s="207" t="s">
        <v>325</v>
      </c>
      <c r="D33" s="207" t="s">
        <v>324</v>
      </c>
      <c r="E33" s="207" t="s">
        <v>146</v>
      </c>
      <c r="F33" s="171">
        <f t="shared" si="4"/>
        <v>9290.2266815310304</v>
      </c>
      <c r="G33" s="171">
        <f t="shared" si="4"/>
        <v>2667.3169825343739</v>
      </c>
      <c r="H33" s="171">
        <v>100000</v>
      </c>
      <c r="I33" s="171">
        <v>28711</v>
      </c>
      <c r="J33" s="171"/>
      <c r="K33" s="152" t="s">
        <v>29</v>
      </c>
      <c r="L33" s="69"/>
      <c r="M33" s="180"/>
      <c r="N33" s="180"/>
      <c r="O33" s="180"/>
    </row>
    <row r="34" spans="1:19" s="26" customFormat="1" ht="13.15">
      <c r="A34" s="172">
        <v>29</v>
      </c>
      <c r="B34" s="206" t="s">
        <v>18</v>
      </c>
      <c r="C34" s="207" t="s">
        <v>326</v>
      </c>
      <c r="D34" s="207" t="s">
        <v>324</v>
      </c>
      <c r="E34" s="207" t="s">
        <v>146</v>
      </c>
      <c r="F34" s="171">
        <f t="shared" si="4"/>
        <v>8859.0672612411745</v>
      </c>
      <c r="G34" s="171">
        <f t="shared" si="4"/>
        <v>3374.8606465997773</v>
      </c>
      <c r="H34" s="171">
        <v>95359</v>
      </c>
      <c r="I34" s="171">
        <v>36327</v>
      </c>
      <c r="J34" s="171"/>
      <c r="K34" s="152" t="s">
        <v>29</v>
      </c>
      <c r="L34" s="69"/>
      <c r="M34" s="180"/>
      <c r="N34" s="180"/>
      <c r="O34" s="180"/>
    </row>
    <row r="35" spans="1:19" s="26" customFormat="1" ht="13.15">
      <c r="A35" s="172">
        <v>30</v>
      </c>
      <c r="B35" s="173" t="s">
        <v>18</v>
      </c>
      <c r="C35" s="170" t="s">
        <v>327</v>
      </c>
      <c r="D35" s="170" t="s">
        <v>324</v>
      </c>
      <c r="E35" s="170" t="s">
        <v>146</v>
      </c>
      <c r="F35" s="171">
        <f t="shared" si="4"/>
        <v>1575.9940542549239</v>
      </c>
      <c r="G35" s="171">
        <f t="shared" si="4"/>
        <v>1575.9940542549239</v>
      </c>
      <c r="H35" s="171">
        <v>16964</v>
      </c>
      <c r="I35" s="171">
        <v>16964</v>
      </c>
      <c r="J35" s="171"/>
      <c r="K35" s="152" t="s">
        <v>29</v>
      </c>
      <c r="L35" s="69"/>
      <c r="M35" s="180"/>
      <c r="N35" s="180"/>
      <c r="O35" s="180"/>
    </row>
    <row r="36" spans="1:19" s="26" customFormat="1" ht="13.15">
      <c r="A36" s="172">
        <v>31</v>
      </c>
      <c r="B36" s="206" t="s">
        <v>18</v>
      </c>
      <c r="C36" s="207" t="s">
        <v>328</v>
      </c>
      <c r="D36" s="207" t="s">
        <v>329</v>
      </c>
      <c r="E36" s="207" t="s">
        <v>155</v>
      </c>
      <c r="F36" s="208">
        <f t="shared" si="4"/>
        <v>13478.167967298403</v>
      </c>
      <c r="G36" s="208">
        <f t="shared" si="4"/>
        <v>13478.167967298403</v>
      </c>
      <c r="H36" s="208">
        <v>145079</v>
      </c>
      <c r="I36" s="208">
        <v>145079</v>
      </c>
      <c r="J36" s="171"/>
      <c r="K36" s="152" t="s">
        <v>29</v>
      </c>
      <c r="L36" s="69"/>
      <c r="M36" s="180"/>
      <c r="N36" s="180"/>
      <c r="O36" s="180"/>
    </row>
    <row r="37" spans="1:19" s="26" customFormat="1" ht="13.15">
      <c r="A37" s="172"/>
      <c r="B37" s="216" t="s">
        <v>275</v>
      </c>
      <c r="C37" s="217"/>
      <c r="D37" s="217"/>
      <c r="E37" s="217"/>
      <c r="F37" s="217"/>
      <c r="G37" s="217"/>
      <c r="H37" s="218"/>
      <c r="I37" s="70">
        <f>SUM(I6:I36)</f>
        <v>2673910</v>
      </c>
      <c r="J37" s="70"/>
      <c r="K37" s="152"/>
      <c r="L37" s="180"/>
      <c r="M37" s="180"/>
      <c r="N37" s="180"/>
      <c r="O37" s="180"/>
      <c r="P37" s="180"/>
      <c r="Q37" s="180"/>
      <c r="R37" s="180"/>
      <c r="S37" s="180"/>
    </row>
    <row r="38" spans="1:19" s="54" customFormat="1">
      <c r="A38" s="153"/>
      <c r="B38" s="219" t="s">
        <v>207</v>
      </c>
      <c r="C38" s="220"/>
      <c r="D38" s="220"/>
      <c r="E38" s="220"/>
      <c r="F38" s="220"/>
      <c r="G38" s="220"/>
      <c r="H38" s="220"/>
      <c r="I38" s="220"/>
      <c r="J38" s="185"/>
      <c r="K38" s="187"/>
      <c r="L38" s="71"/>
      <c r="M38" s="53"/>
      <c r="N38" s="53"/>
      <c r="O38" s="53"/>
      <c r="P38" s="53"/>
      <c r="Q38" s="53"/>
      <c r="R38" s="53"/>
      <c r="S38" s="53"/>
    </row>
    <row r="39" spans="1:19" s="26" customFormat="1" ht="13.15">
      <c r="A39" s="172">
        <v>1</v>
      </c>
      <c r="B39" s="206" t="s">
        <v>208</v>
      </c>
      <c r="C39" s="206" t="s">
        <v>330</v>
      </c>
      <c r="D39" s="206" t="s">
        <v>331</v>
      </c>
      <c r="E39" s="206" t="s">
        <v>175</v>
      </c>
      <c r="F39" s="171">
        <f t="shared" ref="F39" si="5">H39/10.764</f>
        <v>11489.873652917131</v>
      </c>
      <c r="G39" s="171">
        <f t="shared" ref="G39" si="6">I39/10.764</f>
        <v>4964.2326272761056</v>
      </c>
      <c r="H39" s="171">
        <v>123677</v>
      </c>
      <c r="I39" s="171">
        <v>53435</v>
      </c>
      <c r="J39" s="182"/>
      <c r="K39" s="152" t="s">
        <v>29</v>
      </c>
      <c r="L39" s="181"/>
      <c r="M39" s="180"/>
      <c r="N39" s="180"/>
      <c r="O39" s="180"/>
      <c r="P39" s="180"/>
      <c r="Q39" s="180"/>
      <c r="R39" s="180"/>
      <c r="S39" s="180"/>
    </row>
    <row r="40" spans="1:19" s="26" customFormat="1" ht="13.15">
      <c r="A40" s="172">
        <v>2</v>
      </c>
      <c r="B40" s="206" t="s">
        <v>208</v>
      </c>
      <c r="C40" s="206" t="s">
        <v>332</v>
      </c>
      <c r="D40" s="206" t="s">
        <v>331</v>
      </c>
      <c r="E40" s="206" t="s">
        <v>175</v>
      </c>
      <c r="F40" s="171">
        <f>H40/10.764</f>
        <v>20306.29877369008</v>
      </c>
      <c r="G40" s="171">
        <f>I40/10.764</f>
        <v>20306.29877369008</v>
      </c>
      <c r="H40" s="171">
        <v>218577</v>
      </c>
      <c r="I40" s="171">
        <v>218577</v>
      </c>
      <c r="J40" s="182"/>
      <c r="K40" s="152" t="s">
        <v>29</v>
      </c>
      <c r="L40" s="181"/>
      <c r="M40" s="180"/>
      <c r="N40" s="180"/>
      <c r="O40" s="180"/>
      <c r="P40" s="180"/>
      <c r="Q40" s="180"/>
      <c r="R40" s="180"/>
      <c r="S40" s="180"/>
    </row>
    <row r="41" spans="1:19" s="26" customFormat="1" ht="13.15">
      <c r="A41" s="172">
        <v>3</v>
      </c>
      <c r="B41" s="206" t="s">
        <v>208</v>
      </c>
      <c r="C41" s="206" t="s">
        <v>333</v>
      </c>
      <c r="D41" s="206" t="s">
        <v>334</v>
      </c>
      <c r="E41" s="206" t="s">
        <v>302</v>
      </c>
      <c r="F41" s="171">
        <f t="shared" ref="F41:G47" si="7">H41/10.764</f>
        <v>10824.043106651803</v>
      </c>
      <c r="G41" s="171">
        <f t="shared" si="7"/>
        <v>10824.043106651803</v>
      </c>
      <c r="H41" s="171">
        <v>116510</v>
      </c>
      <c r="I41" s="171">
        <v>116510</v>
      </c>
      <c r="J41" s="171"/>
      <c r="K41" s="152" t="s">
        <v>47</v>
      </c>
      <c r="L41" s="181"/>
      <c r="M41" s="180"/>
      <c r="N41" s="180"/>
      <c r="O41" s="180"/>
      <c r="P41" s="180"/>
      <c r="Q41" s="180"/>
      <c r="R41" s="180"/>
      <c r="S41" s="180"/>
    </row>
    <row r="42" spans="1:19" s="26" customFormat="1" ht="13.15">
      <c r="A42" s="172">
        <v>4</v>
      </c>
      <c r="B42" s="206" t="s">
        <v>208</v>
      </c>
      <c r="C42" s="206" t="s">
        <v>335</v>
      </c>
      <c r="D42" s="206" t="s">
        <v>334</v>
      </c>
      <c r="E42" s="206" t="s">
        <v>302</v>
      </c>
      <c r="F42" s="171">
        <f>H42/10.764</f>
        <v>10824.043106651803</v>
      </c>
      <c r="G42" s="171">
        <f t="shared" si="7"/>
        <v>10824.043106651803</v>
      </c>
      <c r="H42" s="171">
        <v>116510</v>
      </c>
      <c r="I42" s="171">
        <v>116510</v>
      </c>
      <c r="J42" s="171"/>
      <c r="K42" s="152" t="s">
        <v>47</v>
      </c>
      <c r="L42" s="181"/>
      <c r="M42" s="180"/>
      <c r="N42" s="180"/>
      <c r="O42" s="180"/>
      <c r="P42" s="180"/>
      <c r="Q42" s="180"/>
      <c r="R42" s="180"/>
      <c r="S42" s="180"/>
    </row>
    <row r="43" spans="1:19" s="26" customFormat="1" ht="13.15">
      <c r="A43" s="172">
        <v>5</v>
      </c>
      <c r="B43" s="206" t="s">
        <v>208</v>
      </c>
      <c r="C43" s="206" t="s">
        <v>222</v>
      </c>
      <c r="D43" s="206" t="s">
        <v>220</v>
      </c>
      <c r="E43" s="206" t="s">
        <v>221</v>
      </c>
      <c r="F43" s="171">
        <f t="shared" si="7"/>
        <v>9570.9773318468979</v>
      </c>
      <c r="G43" s="171">
        <f t="shared" si="7"/>
        <v>6336.9565217391309</v>
      </c>
      <c r="H43" s="171">
        <v>103022</v>
      </c>
      <c r="I43" s="171">
        <v>68211</v>
      </c>
      <c r="J43" s="171"/>
      <c r="K43" s="152" t="s">
        <v>29</v>
      </c>
      <c r="L43" s="181"/>
      <c r="M43" s="180"/>
      <c r="N43" s="180"/>
      <c r="O43" s="180"/>
      <c r="P43" s="180"/>
      <c r="Q43" s="180"/>
      <c r="R43" s="180"/>
      <c r="S43" s="180"/>
    </row>
    <row r="44" spans="1:19" s="26" customFormat="1" ht="13.15">
      <c r="A44" s="172">
        <v>6</v>
      </c>
      <c r="B44" s="173" t="s">
        <v>208</v>
      </c>
      <c r="C44" s="173" t="s">
        <v>297</v>
      </c>
      <c r="D44" s="173" t="s">
        <v>336</v>
      </c>
      <c r="E44" s="173" t="s">
        <v>337</v>
      </c>
      <c r="F44" s="171">
        <f t="shared" si="7"/>
        <v>2574.0431066518026</v>
      </c>
      <c r="G44" s="171">
        <f t="shared" si="7"/>
        <v>2574.0431066518026</v>
      </c>
      <c r="H44" s="171">
        <v>27707</v>
      </c>
      <c r="I44" s="171">
        <v>27707</v>
      </c>
      <c r="J44" s="182"/>
      <c r="K44" s="152" t="s">
        <v>47</v>
      </c>
      <c r="L44" s="181"/>
      <c r="M44" s="180"/>
      <c r="N44" s="180"/>
      <c r="O44" s="180"/>
      <c r="P44" s="180"/>
      <c r="Q44" s="180"/>
      <c r="R44" s="180"/>
      <c r="S44" s="180"/>
    </row>
    <row r="45" spans="1:19" s="26" customFormat="1" ht="13.15">
      <c r="A45" s="172">
        <v>7</v>
      </c>
      <c r="B45" s="173" t="s">
        <v>208</v>
      </c>
      <c r="C45" s="173" t="s">
        <v>286</v>
      </c>
      <c r="D45" s="173" t="s">
        <v>336</v>
      </c>
      <c r="E45" s="173" t="s">
        <v>337</v>
      </c>
      <c r="F45" s="171">
        <f t="shared" si="7"/>
        <v>2979.00408769974</v>
      </c>
      <c r="G45" s="171">
        <f t="shared" si="7"/>
        <v>2979.00408769974</v>
      </c>
      <c r="H45" s="171">
        <v>32066</v>
      </c>
      <c r="I45" s="171">
        <v>32066</v>
      </c>
      <c r="J45" s="182"/>
      <c r="K45" s="152" t="s">
        <v>47</v>
      </c>
      <c r="L45" s="181"/>
      <c r="M45" s="180"/>
      <c r="N45" s="180"/>
      <c r="O45" s="180"/>
      <c r="P45" s="180"/>
      <c r="Q45" s="180"/>
      <c r="R45" s="180"/>
      <c r="S45" s="180"/>
    </row>
    <row r="46" spans="1:19" s="26" customFormat="1" ht="13.15">
      <c r="A46" s="172">
        <v>8</v>
      </c>
      <c r="B46" s="173" t="s">
        <v>208</v>
      </c>
      <c r="C46" s="173" t="s">
        <v>338</v>
      </c>
      <c r="D46" s="173" t="s">
        <v>336</v>
      </c>
      <c r="E46" s="173" t="s">
        <v>337</v>
      </c>
      <c r="F46" s="171">
        <f t="shared" si="7"/>
        <v>2513.0063173541434</v>
      </c>
      <c r="G46" s="171">
        <f>I46/10.764</f>
        <v>2513.0063173541434</v>
      </c>
      <c r="H46" s="171">
        <v>27050</v>
      </c>
      <c r="I46" s="171">
        <v>27050</v>
      </c>
      <c r="J46" s="182"/>
      <c r="K46" s="152" t="s">
        <v>47</v>
      </c>
      <c r="L46" s="181"/>
      <c r="M46" s="180"/>
      <c r="N46" s="180"/>
      <c r="O46" s="180"/>
      <c r="P46" s="180"/>
      <c r="Q46" s="180"/>
      <c r="R46" s="180"/>
      <c r="S46" s="180"/>
    </row>
    <row r="47" spans="1:19" s="26" customFormat="1" ht="13.15">
      <c r="A47" s="172">
        <v>9</v>
      </c>
      <c r="B47" s="206" t="s">
        <v>208</v>
      </c>
      <c r="C47" s="206" t="s">
        <v>339</v>
      </c>
      <c r="D47" s="206" t="s">
        <v>227</v>
      </c>
      <c r="E47" s="206" t="s">
        <v>155</v>
      </c>
      <c r="F47" s="171">
        <f t="shared" si="7"/>
        <v>5562.8948346339657</v>
      </c>
      <c r="G47" s="171">
        <f>I47/10.764</f>
        <v>5562.8948346339657</v>
      </c>
      <c r="H47" s="171">
        <v>59879</v>
      </c>
      <c r="I47" s="171">
        <v>59879</v>
      </c>
      <c r="J47" s="182"/>
      <c r="K47" s="152" t="s">
        <v>29</v>
      </c>
      <c r="L47" s="181"/>
      <c r="M47" s="180"/>
      <c r="N47" s="180"/>
      <c r="O47" s="180"/>
      <c r="P47" s="180"/>
      <c r="Q47" s="180"/>
      <c r="R47" s="180"/>
      <c r="S47" s="180"/>
    </row>
    <row r="48" spans="1:19" s="26" customFormat="1" ht="13.15">
      <c r="A48" s="172"/>
      <c r="B48" s="216" t="s">
        <v>275</v>
      </c>
      <c r="C48" s="217"/>
      <c r="D48" s="217"/>
      <c r="E48" s="217"/>
      <c r="F48" s="217"/>
      <c r="G48" s="217"/>
      <c r="H48" s="218"/>
      <c r="I48" s="70">
        <f>SUM(I39:I47)</f>
        <v>719945</v>
      </c>
      <c r="J48" s="70"/>
      <c r="K48" s="172"/>
      <c r="L48" s="180"/>
      <c r="M48" s="180"/>
      <c r="N48" s="180"/>
    </row>
    <row r="49" spans="1:19" s="54" customFormat="1">
      <c r="A49" s="153"/>
      <c r="B49" s="219" t="s">
        <v>196</v>
      </c>
      <c r="C49" s="220"/>
      <c r="D49" s="220"/>
      <c r="E49" s="220"/>
      <c r="F49" s="220"/>
      <c r="G49" s="220"/>
      <c r="H49" s="220"/>
      <c r="I49" s="220"/>
      <c r="J49" s="185"/>
      <c r="K49" s="72"/>
      <c r="L49" s="53"/>
      <c r="M49" s="53"/>
      <c r="N49" s="53"/>
      <c r="O49" s="53"/>
      <c r="P49" s="53"/>
      <c r="Q49" s="53"/>
      <c r="R49" s="53"/>
      <c r="S49" s="53"/>
    </row>
    <row r="50" spans="1:19" s="26" customFormat="1" ht="14.1" customHeight="1">
      <c r="A50" s="172">
        <v>1</v>
      </c>
      <c r="B50" s="173" t="s">
        <v>340</v>
      </c>
      <c r="C50" s="173" t="s">
        <v>201</v>
      </c>
      <c r="D50" s="173" t="s">
        <v>199</v>
      </c>
      <c r="E50" s="173" t="s">
        <v>200</v>
      </c>
      <c r="F50" s="171">
        <f t="shared" ref="F50" si="8">H50/10.764</f>
        <v>15750.000000000002</v>
      </c>
      <c r="G50" s="171">
        <f>I50/10.764</f>
        <v>10150.966183574879</v>
      </c>
      <c r="H50" s="171">
        <v>169533</v>
      </c>
      <c r="I50" s="171">
        <v>109265</v>
      </c>
      <c r="J50" s="164"/>
      <c r="K50" s="152" t="s">
        <v>29</v>
      </c>
      <c r="L50" s="180"/>
      <c r="M50" s="180"/>
      <c r="N50" s="180"/>
    </row>
    <row r="51" spans="1:19" s="26" customFormat="1" ht="14.1" customHeight="1">
      <c r="A51" s="172">
        <v>2</v>
      </c>
      <c r="B51" s="173" t="s">
        <v>340</v>
      </c>
      <c r="C51" s="173" t="s">
        <v>341</v>
      </c>
      <c r="D51" s="173" t="s">
        <v>342</v>
      </c>
      <c r="E51" s="173" t="s">
        <v>90</v>
      </c>
      <c r="F51" s="171">
        <f>H51/10.764</f>
        <v>9060.0148643626908</v>
      </c>
      <c r="G51" s="171">
        <f>I51/10.764</f>
        <v>3623.0026012634712</v>
      </c>
      <c r="H51" s="171">
        <v>97522</v>
      </c>
      <c r="I51" s="171">
        <v>38998</v>
      </c>
      <c r="J51" s="171"/>
      <c r="K51" s="152" t="s">
        <v>343</v>
      </c>
      <c r="L51" s="180"/>
      <c r="M51" s="180"/>
      <c r="N51" s="180"/>
    </row>
    <row r="52" spans="1:19" s="26" customFormat="1" ht="14.1" customHeight="1">
      <c r="A52" s="172">
        <v>3</v>
      </c>
      <c r="B52" s="173" t="s">
        <v>340</v>
      </c>
      <c r="C52" s="173" t="s">
        <v>344</v>
      </c>
      <c r="D52" s="173" t="s">
        <v>342</v>
      </c>
      <c r="E52" s="173" t="s">
        <v>90</v>
      </c>
      <c r="F52" s="171">
        <f>H52/10.764</f>
        <v>1808.9929394277221</v>
      </c>
      <c r="G52" s="171">
        <f>I52/10.764</f>
        <v>1808.9929394277221</v>
      </c>
      <c r="H52" s="171">
        <v>19472</v>
      </c>
      <c r="I52" s="171">
        <v>19472</v>
      </c>
      <c r="J52" s="171"/>
      <c r="K52" s="152" t="s">
        <v>343</v>
      </c>
      <c r="L52" s="180"/>
      <c r="M52" s="180"/>
      <c r="N52" s="180"/>
    </row>
    <row r="53" spans="1:19" s="26" customFormat="1" ht="14.1" customHeight="1">
      <c r="A53" s="172">
        <v>4</v>
      </c>
      <c r="B53" s="173" t="s">
        <v>340</v>
      </c>
      <c r="C53" s="173" t="s">
        <v>345</v>
      </c>
      <c r="D53" s="173" t="s">
        <v>342</v>
      </c>
      <c r="E53" s="173" t="s">
        <v>90</v>
      </c>
      <c r="F53" s="171">
        <f>H53/10.764</f>
        <v>1836.9565217391305</v>
      </c>
      <c r="G53" s="171">
        <f>I53/10.764</f>
        <v>1836.9565217391305</v>
      </c>
      <c r="H53" s="171">
        <v>19773</v>
      </c>
      <c r="I53" s="171">
        <v>19773</v>
      </c>
      <c r="J53" s="171"/>
      <c r="K53" s="152" t="s">
        <v>343</v>
      </c>
      <c r="L53" s="180"/>
      <c r="M53" s="180"/>
      <c r="N53" s="180"/>
    </row>
    <row r="54" spans="1:19" s="26" customFormat="1" ht="14.1" customHeight="1">
      <c r="A54" s="172"/>
      <c r="B54" s="216" t="s">
        <v>275</v>
      </c>
      <c r="C54" s="217"/>
      <c r="D54" s="217"/>
      <c r="E54" s="217"/>
      <c r="F54" s="217"/>
      <c r="G54" s="217"/>
      <c r="H54" s="218"/>
      <c r="I54" s="70">
        <f>SUM(I50:I53)</f>
        <v>187508</v>
      </c>
      <c r="J54" s="70"/>
      <c r="K54" s="172"/>
      <c r="L54" s="180"/>
      <c r="M54" s="180"/>
      <c r="N54" s="180"/>
      <c r="O54" s="180"/>
      <c r="P54" s="180"/>
      <c r="Q54" s="180"/>
      <c r="R54" s="180"/>
      <c r="S54" s="180"/>
    </row>
    <row r="55" spans="1:19" s="54" customFormat="1">
      <c r="A55" s="153"/>
      <c r="B55" s="219" t="s">
        <v>161</v>
      </c>
      <c r="C55" s="220"/>
      <c r="D55" s="220"/>
      <c r="E55" s="220"/>
      <c r="F55" s="220"/>
      <c r="G55" s="220"/>
      <c r="H55" s="220"/>
      <c r="I55" s="220"/>
      <c r="J55" s="185"/>
      <c r="K55" s="72"/>
      <c r="L55" s="53"/>
      <c r="M55" s="53"/>
      <c r="N55" s="53"/>
      <c r="O55" s="53"/>
      <c r="P55" s="53"/>
      <c r="Q55" s="53"/>
      <c r="R55" s="53"/>
      <c r="S55" s="53"/>
    </row>
    <row r="56" spans="1:19" s="26" customFormat="1" ht="14.1" customHeight="1">
      <c r="A56" s="172">
        <v>1</v>
      </c>
      <c r="B56" s="173" t="s">
        <v>346</v>
      </c>
      <c r="C56" s="173" t="s">
        <v>68</v>
      </c>
      <c r="D56" s="173" t="s">
        <v>164</v>
      </c>
      <c r="E56" s="173" t="s">
        <v>165</v>
      </c>
      <c r="F56" s="171">
        <f t="shared" ref="F56:G59" si="9">H56/10.764</f>
        <v>42980.955035302861</v>
      </c>
      <c r="G56" s="171">
        <f t="shared" si="9"/>
        <v>21520.531400966185</v>
      </c>
      <c r="H56" s="171">
        <v>462647</v>
      </c>
      <c r="I56" s="171">
        <v>231647</v>
      </c>
      <c r="J56" s="164"/>
      <c r="K56" s="152" t="s">
        <v>29</v>
      </c>
    </row>
    <row r="57" spans="1:19" s="26" customFormat="1" ht="14.1" customHeight="1">
      <c r="A57" s="172">
        <v>2</v>
      </c>
      <c r="B57" s="173" t="s">
        <v>346</v>
      </c>
      <c r="C57" s="173" t="s">
        <v>159</v>
      </c>
      <c r="D57" s="173" t="s">
        <v>347</v>
      </c>
      <c r="E57" s="173" t="s">
        <v>348</v>
      </c>
      <c r="F57" s="171">
        <f t="shared" si="9"/>
        <v>10000</v>
      </c>
      <c r="G57" s="171">
        <f t="shared" si="9"/>
        <v>10000</v>
      </c>
      <c r="H57" s="171">
        <v>107640</v>
      </c>
      <c r="I57" s="171">
        <v>107640</v>
      </c>
      <c r="J57" s="164"/>
      <c r="K57" s="152" t="s">
        <v>47</v>
      </c>
    </row>
    <row r="58" spans="1:19" s="26" customFormat="1" ht="14.1" customHeight="1">
      <c r="A58" s="172">
        <v>3</v>
      </c>
      <c r="B58" s="206" t="s">
        <v>346</v>
      </c>
      <c r="C58" s="206" t="s">
        <v>349</v>
      </c>
      <c r="D58" s="206" t="s">
        <v>174</v>
      </c>
      <c r="E58" s="206" t="s">
        <v>350</v>
      </c>
      <c r="F58" s="171">
        <f>H58/10.764</f>
        <v>18641.954663693796</v>
      </c>
      <c r="G58" s="171">
        <f>I58/10.764</f>
        <v>18641.954663693796</v>
      </c>
      <c r="H58" s="171">
        <v>200662</v>
      </c>
      <c r="I58" s="171">
        <v>200662</v>
      </c>
      <c r="J58" s="164"/>
      <c r="K58" s="152" t="s">
        <v>47</v>
      </c>
    </row>
    <row r="59" spans="1:19" s="26" customFormat="1" ht="14.1" customHeight="1">
      <c r="A59" s="172">
        <v>4</v>
      </c>
      <c r="B59" s="206" t="s">
        <v>346</v>
      </c>
      <c r="C59" s="206" t="s">
        <v>351</v>
      </c>
      <c r="D59" s="206" t="s">
        <v>352</v>
      </c>
      <c r="E59" s="206" t="s">
        <v>353</v>
      </c>
      <c r="F59" s="171">
        <f t="shared" si="9"/>
        <v>11240.616871051654</v>
      </c>
      <c r="G59" s="171">
        <f t="shared" si="9"/>
        <v>11240.616871051654</v>
      </c>
      <c r="H59" s="171">
        <v>120994</v>
      </c>
      <c r="I59" s="171">
        <v>120994</v>
      </c>
      <c r="J59" s="164"/>
      <c r="K59" s="152" t="s">
        <v>29</v>
      </c>
    </row>
    <row r="60" spans="1:19" s="26" customFormat="1" ht="14.1" customHeight="1">
      <c r="A60" s="172">
        <v>5</v>
      </c>
      <c r="B60" s="206" t="s">
        <v>346</v>
      </c>
      <c r="C60" s="206" t="s">
        <v>328</v>
      </c>
      <c r="D60" s="206" t="s">
        <v>174</v>
      </c>
      <c r="E60" s="206" t="s">
        <v>155</v>
      </c>
      <c r="F60" s="171">
        <f t="shared" ref="F60" si="10">H60/10.764</f>
        <v>22074.972129319958</v>
      </c>
      <c r="G60" s="171">
        <f>I60/10.764</f>
        <v>22074.972129319958</v>
      </c>
      <c r="H60" s="171">
        <v>237615</v>
      </c>
      <c r="I60" s="171">
        <v>237615</v>
      </c>
      <c r="J60" s="164"/>
      <c r="K60" s="152" t="s">
        <v>29</v>
      </c>
    </row>
    <row r="61" spans="1:19" s="26" customFormat="1" ht="14.1" customHeight="1">
      <c r="A61" s="172"/>
      <c r="B61" s="216" t="s">
        <v>275</v>
      </c>
      <c r="C61" s="217"/>
      <c r="D61" s="217"/>
      <c r="E61" s="217"/>
      <c r="F61" s="217"/>
      <c r="G61" s="217"/>
      <c r="H61" s="218"/>
      <c r="I61" s="70">
        <f>SUM(I56:I60)</f>
        <v>898558</v>
      </c>
      <c r="J61" s="70"/>
      <c r="K61" s="170"/>
      <c r="L61" s="180"/>
      <c r="M61" s="180"/>
    </row>
    <row r="62" spans="1:19" s="54" customFormat="1" ht="14.1" customHeight="1">
      <c r="A62" s="153"/>
      <c r="B62" s="219" t="s">
        <v>269</v>
      </c>
      <c r="C62" s="220"/>
      <c r="D62" s="220"/>
      <c r="E62" s="220"/>
      <c r="F62" s="220"/>
      <c r="G62" s="220"/>
      <c r="H62" s="220"/>
      <c r="I62" s="220"/>
      <c r="J62" s="185"/>
      <c r="K62" s="153"/>
      <c r="L62" s="53"/>
      <c r="M62" s="53"/>
    </row>
    <row r="63" spans="1:19" s="26" customFormat="1" ht="14.1" customHeight="1">
      <c r="A63" s="172">
        <v>1</v>
      </c>
      <c r="B63" s="173" t="s">
        <v>270</v>
      </c>
      <c r="C63" s="173"/>
      <c r="D63" s="173"/>
      <c r="E63" s="173"/>
      <c r="F63" s="171"/>
      <c r="G63" s="171"/>
      <c r="H63" s="171"/>
      <c r="I63" s="171"/>
      <c r="J63" s="171"/>
      <c r="K63" s="152"/>
      <c r="L63" s="180"/>
      <c r="M63" s="180"/>
    </row>
    <row r="64" spans="1:19" s="26" customFormat="1" ht="14.1" customHeight="1">
      <c r="A64" s="172"/>
      <c r="B64" s="216" t="s">
        <v>275</v>
      </c>
      <c r="C64" s="217"/>
      <c r="D64" s="217"/>
      <c r="E64" s="217"/>
      <c r="F64" s="217"/>
      <c r="G64" s="217"/>
      <c r="H64" s="218"/>
      <c r="I64" s="73">
        <f>SUM(I63:I63)</f>
        <v>0</v>
      </c>
      <c r="J64" s="73"/>
      <c r="K64" s="172"/>
      <c r="L64" s="180"/>
      <c r="M64" s="180"/>
    </row>
    <row r="65" spans="1:19" s="54" customFormat="1">
      <c r="A65" s="153"/>
      <c r="B65" s="219" t="s">
        <v>186</v>
      </c>
      <c r="C65" s="220"/>
      <c r="D65" s="220"/>
      <c r="E65" s="220"/>
      <c r="F65" s="220"/>
      <c r="G65" s="220"/>
      <c r="H65" s="220"/>
      <c r="I65" s="223"/>
      <c r="J65" s="153"/>
      <c r="K65" s="64"/>
      <c r="L65" s="53"/>
      <c r="M65" s="53"/>
    </row>
    <row r="66" spans="1:19" s="26" customFormat="1" ht="13.15">
      <c r="A66" s="172">
        <v>1</v>
      </c>
      <c r="B66" s="170" t="s">
        <v>187</v>
      </c>
      <c r="C66" s="170"/>
      <c r="D66" s="170"/>
      <c r="E66" s="170"/>
      <c r="F66" s="171"/>
      <c r="G66" s="171"/>
      <c r="H66" s="171"/>
      <c r="I66" s="171"/>
      <c r="J66" s="74"/>
      <c r="K66" s="152"/>
      <c r="L66" s="180"/>
      <c r="M66" s="180"/>
    </row>
    <row r="67" spans="1:19" s="26" customFormat="1" ht="13.15">
      <c r="A67" s="172"/>
      <c r="B67" s="216" t="s">
        <v>275</v>
      </c>
      <c r="C67" s="217"/>
      <c r="D67" s="217"/>
      <c r="E67" s="217"/>
      <c r="F67" s="217"/>
      <c r="G67" s="217"/>
      <c r="H67" s="218"/>
      <c r="I67" s="70">
        <f>SUM(I66:I66)</f>
        <v>0</v>
      </c>
      <c r="J67" s="70"/>
      <c r="K67" s="172"/>
      <c r="L67" s="180"/>
      <c r="M67" s="180"/>
      <c r="N67" s="180"/>
      <c r="O67" s="180"/>
    </row>
    <row r="68" spans="1:19" s="54" customFormat="1" ht="14.1" customHeight="1">
      <c r="A68" s="153"/>
      <c r="B68" s="219" t="s">
        <v>230</v>
      </c>
      <c r="C68" s="220"/>
      <c r="D68" s="220"/>
      <c r="E68" s="220"/>
      <c r="F68" s="220"/>
      <c r="G68" s="220"/>
      <c r="H68" s="220"/>
      <c r="I68" s="220"/>
      <c r="J68" s="185"/>
      <c r="K68" s="187"/>
      <c r="L68" s="75"/>
      <c r="M68" s="53"/>
      <c r="N68" s="53"/>
      <c r="O68" s="53"/>
      <c r="P68" s="53"/>
      <c r="Q68" s="53"/>
      <c r="R68" s="53"/>
      <c r="S68" s="53"/>
    </row>
    <row r="69" spans="1:19" s="26" customFormat="1" ht="14.1" customHeight="1">
      <c r="A69" s="172">
        <v>1</v>
      </c>
      <c r="B69" s="173" t="s">
        <v>231</v>
      </c>
      <c r="C69" s="173" t="s">
        <v>123</v>
      </c>
      <c r="D69" s="173" t="s">
        <v>354</v>
      </c>
      <c r="E69" s="173" t="s">
        <v>355</v>
      </c>
      <c r="F69" s="171">
        <f t="shared" ref="F69:G73" si="11">H69/10.764</f>
        <v>2906.3545150501673</v>
      </c>
      <c r="G69" s="171">
        <f t="shared" si="11"/>
        <v>2906.3545150501673</v>
      </c>
      <c r="H69" s="171">
        <v>31284</v>
      </c>
      <c r="I69" s="171">
        <v>31284</v>
      </c>
      <c r="J69" s="76"/>
      <c r="K69" s="152" t="s">
        <v>29</v>
      </c>
      <c r="L69" s="77"/>
      <c r="M69" s="180"/>
      <c r="N69" s="180"/>
      <c r="O69" s="180"/>
      <c r="P69" s="180"/>
      <c r="Q69" s="180"/>
      <c r="R69" s="180"/>
      <c r="S69" s="180"/>
    </row>
    <row r="70" spans="1:19" s="26" customFormat="1" ht="14.1" customHeight="1">
      <c r="A70" s="172">
        <v>2</v>
      </c>
      <c r="B70" s="206" t="s">
        <v>231</v>
      </c>
      <c r="C70" s="209" t="s">
        <v>356</v>
      </c>
      <c r="D70" s="206" t="s">
        <v>357</v>
      </c>
      <c r="E70" s="206" t="s">
        <v>358</v>
      </c>
      <c r="F70" s="171">
        <f>H70/10.764</f>
        <v>4237.7369007803791</v>
      </c>
      <c r="G70" s="171">
        <f>I70/10.764</f>
        <v>4237.7369007803791</v>
      </c>
      <c r="H70" s="171">
        <v>45615</v>
      </c>
      <c r="I70" s="171">
        <v>45615</v>
      </c>
      <c r="J70" s="76"/>
      <c r="K70" s="152" t="s">
        <v>29</v>
      </c>
      <c r="L70" s="77"/>
      <c r="M70" s="180"/>
      <c r="N70" s="180"/>
      <c r="O70" s="180"/>
      <c r="P70" s="180"/>
      <c r="Q70" s="180"/>
      <c r="R70" s="180"/>
      <c r="S70" s="180"/>
    </row>
    <row r="71" spans="1:19" s="26" customFormat="1" ht="14.1" customHeight="1">
      <c r="A71" s="172">
        <v>3</v>
      </c>
      <c r="B71" s="173" t="s">
        <v>231</v>
      </c>
      <c r="C71" s="78" t="s">
        <v>359</v>
      </c>
      <c r="D71" s="173" t="s">
        <v>360</v>
      </c>
      <c r="E71" s="173" t="s">
        <v>90</v>
      </c>
      <c r="F71" s="171">
        <f t="shared" si="11"/>
        <v>5299.981419546637</v>
      </c>
      <c r="G71" s="171">
        <f t="shared" si="11"/>
        <v>5299.981419546637</v>
      </c>
      <c r="H71" s="171">
        <v>57049</v>
      </c>
      <c r="I71" s="171">
        <v>57049</v>
      </c>
      <c r="J71" s="76"/>
      <c r="K71" s="152" t="s">
        <v>47</v>
      </c>
      <c r="L71" s="77"/>
      <c r="M71" s="180"/>
      <c r="N71" s="180"/>
      <c r="O71" s="180"/>
      <c r="P71" s="180"/>
      <c r="Q71" s="180"/>
      <c r="R71" s="180"/>
      <c r="S71" s="180"/>
    </row>
    <row r="72" spans="1:19" s="26" customFormat="1" ht="14.1" customHeight="1">
      <c r="A72" s="172">
        <v>4</v>
      </c>
      <c r="B72" s="173" t="s">
        <v>231</v>
      </c>
      <c r="C72" s="173" t="s">
        <v>361</v>
      </c>
      <c r="D72" s="173" t="s">
        <v>362</v>
      </c>
      <c r="E72" s="173" t="s">
        <v>363</v>
      </c>
      <c r="F72" s="171">
        <f t="shared" si="11"/>
        <v>53871.980676328509</v>
      </c>
      <c r="G72" s="171">
        <f>I72/10.764</f>
        <v>53871.980676328509</v>
      </c>
      <c r="H72" s="171">
        <v>579878</v>
      </c>
      <c r="I72" s="171">
        <v>579878</v>
      </c>
      <c r="J72" s="164"/>
      <c r="K72" s="152" t="s">
        <v>47</v>
      </c>
      <c r="L72" s="180"/>
      <c r="M72" s="180"/>
      <c r="N72" s="180"/>
      <c r="O72" s="180"/>
      <c r="P72" s="180"/>
      <c r="Q72" s="180"/>
      <c r="R72" s="180"/>
      <c r="S72" s="180"/>
    </row>
    <row r="73" spans="1:19" s="26" customFormat="1" ht="14.1" customHeight="1">
      <c r="A73" s="172">
        <v>5</v>
      </c>
      <c r="B73" s="206" t="s">
        <v>231</v>
      </c>
      <c r="C73" s="206" t="s">
        <v>228</v>
      </c>
      <c r="D73" s="206" t="s">
        <v>364</v>
      </c>
      <c r="E73" s="173" t="s">
        <v>155</v>
      </c>
      <c r="F73" s="171">
        <f t="shared" si="11"/>
        <v>4117.0568561872915</v>
      </c>
      <c r="G73" s="171">
        <f>I73/10.764</f>
        <v>4117.0568561872915</v>
      </c>
      <c r="H73" s="171">
        <v>44316</v>
      </c>
      <c r="I73" s="171">
        <v>44316</v>
      </c>
      <c r="J73" s="164"/>
      <c r="K73" s="152" t="s">
        <v>29</v>
      </c>
      <c r="L73" s="180"/>
      <c r="M73" s="180"/>
      <c r="N73" s="180"/>
      <c r="O73" s="180"/>
      <c r="P73" s="180"/>
      <c r="Q73" s="180"/>
      <c r="R73" s="180"/>
      <c r="S73" s="180"/>
    </row>
    <row r="74" spans="1:19" s="26" customFormat="1" ht="14.1" customHeight="1">
      <c r="A74" s="172"/>
      <c r="B74" s="216" t="s">
        <v>275</v>
      </c>
      <c r="C74" s="217"/>
      <c r="D74" s="217"/>
      <c r="E74" s="217"/>
      <c r="F74" s="217"/>
      <c r="G74" s="217"/>
      <c r="H74" s="218"/>
      <c r="I74" s="70">
        <f>SUM(I69:I73)</f>
        <v>758142</v>
      </c>
      <c r="J74" s="70"/>
      <c r="K74" s="172"/>
      <c r="L74" s="180"/>
      <c r="M74" s="180"/>
      <c r="N74" s="180"/>
      <c r="O74" s="180"/>
      <c r="P74" s="180"/>
      <c r="Q74" s="180"/>
      <c r="R74" s="180"/>
      <c r="S74" s="180"/>
    </row>
    <row r="75" spans="1:19" s="54" customFormat="1" ht="14.1" customHeight="1">
      <c r="A75" s="153"/>
      <c r="B75" s="219" t="s">
        <v>248</v>
      </c>
      <c r="C75" s="220"/>
      <c r="D75" s="220"/>
      <c r="E75" s="220"/>
      <c r="F75" s="220"/>
      <c r="G75" s="220"/>
      <c r="H75" s="220"/>
      <c r="I75" s="220"/>
      <c r="J75" s="185"/>
      <c r="K75" s="72"/>
      <c r="L75" s="53"/>
      <c r="M75" s="53"/>
      <c r="N75" s="53"/>
      <c r="O75" s="53"/>
      <c r="P75" s="53"/>
      <c r="Q75" s="53"/>
      <c r="R75" s="53"/>
      <c r="S75" s="53"/>
    </row>
    <row r="76" spans="1:19" s="26" customFormat="1" ht="13.15">
      <c r="A76" s="172">
        <v>1</v>
      </c>
      <c r="B76" s="206" t="s">
        <v>249</v>
      </c>
      <c r="C76" s="207" t="s">
        <v>365</v>
      </c>
      <c r="D76" s="207" t="s">
        <v>251</v>
      </c>
      <c r="E76" s="207" t="s">
        <v>252</v>
      </c>
      <c r="F76" s="171">
        <f>H76/10.764</f>
        <v>11308.992939427722</v>
      </c>
      <c r="G76" s="171">
        <f>I76/10.764</f>
        <v>11308.992939427722</v>
      </c>
      <c r="H76" s="171">
        <v>121730</v>
      </c>
      <c r="I76" s="171">
        <v>121730</v>
      </c>
      <c r="J76" s="171"/>
      <c r="K76" s="152" t="s">
        <v>29</v>
      </c>
      <c r="L76" s="23"/>
      <c r="M76" s="23"/>
      <c r="N76" s="23"/>
      <c r="O76" s="23"/>
      <c r="P76" s="180"/>
      <c r="Q76" s="180"/>
      <c r="R76" s="180"/>
      <c r="S76" s="180"/>
    </row>
    <row r="77" spans="1:19" s="26" customFormat="1" ht="13.15">
      <c r="A77" s="172">
        <v>2</v>
      </c>
      <c r="B77" s="206" t="s">
        <v>249</v>
      </c>
      <c r="C77" s="207" t="s">
        <v>366</v>
      </c>
      <c r="D77" s="207" t="s">
        <v>367</v>
      </c>
      <c r="E77" s="207" t="s">
        <v>368</v>
      </c>
      <c r="F77" s="171">
        <f>H77/10.764</f>
        <v>9000</v>
      </c>
      <c r="G77" s="171">
        <f>I77/10.764</f>
        <v>9000</v>
      </c>
      <c r="H77" s="171">
        <v>96876</v>
      </c>
      <c r="I77" s="171">
        <v>96876</v>
      </c>
      <c r="J77" s="171"/>
      <c r="K77" s="152" t="s">
        <v>29</v>
      </c>
      <c r="L77" s="23"/>
      <c r="M77" s="23"/>
      <c r="N77" s="23"/>
      <c r="O77" s="23"/>
      <c r="P77" s="180"/>
      <c r="Q77" s="180"/>
      <c r="R77" s="180"/>
      <c r="S77" s="180"/>
    </row>
    <row r="78" spans="1:19" s="26" customFormat="1" ht="13.15">
      <c r="A78" s="172">
        <v>3</v>
      </c>
      <c r="B78" s="173" t="s">
        <v>249</v>
      </c>
      <c r="C78" s="170" t="s">
        <v>369</v>
      </c>
      <c r="D78" s="170" t="s">
        <v>370</v>
      </c>
      <c r="E78" s="170" t="s">
        <v>50</v>
      </c>
      <c r="F78" s="171">
        <f t="shared" ref="F78:G84" si="12">H78/10.764</f>
        <v>2599.9628390932739</v>
      </c>
      <c r="G78" s="171">
        <f t="shared" si="12"/>
        <v>2599.9628390932739</v>
      </c>
      <c r="H78" s="171">
        <v>27986</v>
      </c>
      <c r="I78" s="171">
        <v>27986</v>
      </c>
      <c r="J78" s="171"/>
      <c r="K78" s="152" t="s">
        <v>29</v>
      </c>
      <c r="L78" s="23"/>
      <c r="M78" s="23"/>
      <c r="N78" s="23"/>
      <c r="O78" s="23"/>
      <c r="P78" s="180"/>
      <c r="Q78" s="180"/>
      <c r="R78" s="180"/>
      <c r="S78" s="180"/>
    </row>
    <row r="79" spans="1:19" s="26" customFormat="1" ht="13.15">
      <c r="A79" s="172">
        <v>4</v>
      </c>
      <c r="B79" s="206" t="s">
        <v>249</v>
      </c>
      <c r="C79" s="207" t="s">
        <v>371</v>
      </c>
      <c r="D79" s="207" t="s">
        <v>372</v>
      </c>
      <c r="E79" s="207" t="s">
        <v>257</v>
      </c>
      <c r="F79" s="171">
        <f t="shared" si="12"/>
        <v>15061.872909698997</v>
      </c>
      <c r="G79" s="171">
        <f t="shared" si="12"/>
        <v>3258.6399108138239</v>
      </c>
      <c r="H79" s="171">
        <v>162126</v>
      </c>
      <c r="I79" s="171">
        <v>35076</v>
      </c>
      <c r="J79" s="171"/>
      <c r="K79" s="152" t="s">
        <v>29</v>
      </c>
      <c r="L79" s="23"/>
      <c r="M79" s="23"/>
      <c r="N79" s="23"/>
      <c r="O79" s="23"/>
      <c r="P79" s="180"/>
      <c r="Q79" s="180"/>
      <c r="R79" s="180"/>
      <c r="S79" s="180"/>
    </row>
    <row r="80" spans="1:19" s="26" customFormat="1" ht="13.15">
      <c r="A80" s="172">
        <v>5</v>
      </c>
      <c r="B80" s="206" t="s">
        <v>249</v>
      </c>
      <c r="C80" s="207" t="s">
        <v>373</v>
      </c>
      <c r="D80" s="207" t="s">
        <v>372</v>
      </c>
      <c r="E80" s="207" t="s">
        <v>257</v>
      </c>
      <c r="F80" s="171">
        <f t="shared" si="12"/>
        <v>12541.80602006689</v>
      </c>
      <c r="G80" s="171">
        <f t="shared" si="12"/>
        <v>5574.1360089186182</v>
      </c>
      <c r="H80" s="171">
        <v>135000</v>
      </c>
      <c r="I80" s="171">
        <v>60000</v>
      </c>
      <c r="J80" s="171"/>
      <c r="K80" s="152" t="s">
        <v>29</v>
      </c>
      <c r="L80" s="23"/>
      <c r="M80" s="23"/>
      <c r="N80" s="23"/>
      <c r="O80" s="23"/>
      <c r="P80" s="180"/>
      <c r="Q80" s="180"/>
      <c r="R80" s="180"/>
      <c r="S80" s="180"/>
    </row>
    <row r="81" spans="1:19" s="26" customFormat="1" ht="13.15">
      <c r="A81" s="172">
        <v>6</v>
      </c>
      <c r="B81" s="173" t="s">
        <v>249</v>
      </c>
      <c r="C81" s="170" t="s">
        <v>374</v>
      </c>
      <c r="D81" s="170" t="s">
        <v>375</v>
      </c>
      <c r="E81" s="170" t="s">
        <v>257</v>
      </c>
      <c r="F81" s="171">
        <f t="shared" si="12"/>
        <v>33454.663693794129</v>
      </c>
      <c r="G81" s="171">
        <f t="shared" si="12"/>
        <v>1642.2333704942403</v>
      </c>
      <c r="H81" s="171">
        <v>360106</v>
      </c>
      <c r="I81" s="171">
        <v>17677</v>
      </c>
      <c r="J81" s="171"/>
      <c r="K81" s="152" t="s">
        <v>29</v>
      </c>
      <c r="L81" s="23"/>
      <c r="M81" s="23"/>
      <c r="N81" s="23"/>
      <c r="O81" s="23"/>
      <c r="P81" s="180"/>
      <c r="Q81" s="180"/>
      <c r="R81" s="180"/>
      <c r="S81" s="180"/>
    </row>
    <row r="82" spans="1:19" s="26" customFormat="1" ht="13.15">
      <c r="A82" s="172">
        <v>7</v>
      </c>
      <c r="B82" s="206" t="s">
        <v>249</v>
      </c>
      <c r="C82" s="207" t="s">
        <v>376</v>
      </c>
      <c r="D82" s="207" t="s">
        <v>375</v>
      </c>
      <c r="E82" s="207" t="s">
        <v>257</v>
      </c>
      <c r="F82" s="171">
        <f t="shared" si="12"/>
        <v>1642.2333704942403</v>
      </c>
      <c r="G82" s="171">
        <f t="shared" si="12"/>
        <v>1642.2333704942403</v>
      </c>
      <c r="H82" s="171">
        <v>17677</v>
      </c>
      <c r="I82" s="171">
        <v>17677</v>
      </c>
      <c r="J82" s="171"/>
      <c r="K82" s="152" t="s">
        <v>29</v>
      </c>
      <c r="L82" s="23"/>
      <c r="M82" s="23"/>
      <c r="N82" s="23"/>
      <c r="O82" s="23"/>
      <c r="P82" s="180"/>
      <c r="Q82" s="180"/>
      <c r="R82" s="180"/>
      <c r="S82" s="180"/>
    </row>
    <row r="83" spans="1:19" s="26" customFormat="1" ht="13.15">
      <c r="A83" s="172">
        <v>8</v>
      </c>
      <c r="B83" s="206" t="s">
        <v>249</v>
      </c>
      <c r="C83" s="207" t="s">
        <v>377</v>
      </c>
      <c r="D83" s="207" t="s">
        <v>375</v>
      </c>
      <c r="E83" s="207" t="s">
        <v>257</v>
      </c>
      <c r="F83" s="171">
        <f t="shared" si="12"/>
        <v>6404.0319583797846</v>
      </c>
      <c r="G83" s="171">
        <f t="shared" si="12"/>
        <v>6404.0319583797846</v>
      </c>
      <c r="H83" s="171">
        <v>68933</v>
      </c>
      <c r="I83" s="171">
        <v>68933</v>
      </c>
      <c r="J83" s="171"/>
      <c r="K83" s="152" t="s">
        <v>29</v>
      </c>
      <c r="L83" s="23"/>
      <c r="M83" s="23"/>
      <c r="N83" s="23"/>
      <c r="O83" s="23"/>
      <c r="P83" s="180"/>
      <c r="Q83" s="180"/>
      <c r="R83" s="180"/>
      <c r="S83" s="180"/>
    </row>
    <row r="84" spans="1:19" s="26" customFormat="1" ht="13.15">
      <c r="A84" s="172">
        <v>9</v>
      </c>
      <c r="B84" s="206" t="s">
        <v>249</v>
      </c>
      <c r="C84" s="207" t="s">
        <v>378</v>
      </c>
      <c r="D84" s="207" t="s">
        <v>375</v>
      </c>
      <c r="E84" s="207" t="s">
        <v>257</v>
      </c>
      <c r="F84" s="171">
        <f t="shared" si="12"/>
        <v>7624.9535488665924</v>
      </c>
      <c r="G84" s="171">
        <f t="shared" si="12"/>
        <v>7624.9535488665924</v>
      </c>
      <c r="H84" s="171">
        <v>82075</v>
      </c>
      <c r="I84" s="171">
        <v>82075</v>
      </c>
      <c r="J84" s="171"/>
      <c r="K84" s="152" t="s">
        <v>29</v>
      </c>
      <c r="L84" s="23"/>
      <c r="M84" s="23"/>
      <c r="N84" s="23"/>
      <c r="O84" s="23"/>
      <c r="P84" s="180"/>
      <c r="Q84" s="180"/>
      <c r="R84" s="180"/>
      <c r="S84" s="180"/>
    </row>
    <row r="85" spans="1:19" s="26" customFormat="1" ht="14.1" customHeight="1">
      <c r="A85" s="172">
        <v>10</v>
      </c>
      <c r="B85" s="173" t="s">
        <v>249</v>
      </c>
      <c r="C85" s="173" t="s">
        <v>159</v>
      </c>
      <c r="D85" s="173" t="s">
        <v>379</v>
      </c>
      <c r="E85" s="173" t="s">
        <v>380</v>
      </c>
      <c r="F85" s="171">
        <f t="shared" ref="F85:G86" si="13">H85/10.764</f>
        <v>4000.0000000000005</v>
      </c>
      <c r="G85" s="171">
        <f t="shared" si="13"/>
        <v>1000.0000000000001</v>
      </c>
      <c r="H85" s="171">
        <v>43056</v>
      </c>
      <c r="I85" s="171">
        <v>10764</v>
      </c>
      <c r="J85" s="171"/>
      <c r="K85" s="152" t="s">
        <v>47</v>
      </c>
      <c r="L85" s="23"/>
      <c r="M85" s="23"/>
      <c r="N85" s="23"/>
      <c r="O85" s="23"/>
    </row>
    <row r="86" spans="1:19" s="26" customFormat="1" ht="14.1" customHeight="1">
      <c r="A86" s="172">
        <v>11</v>
      </c>
      <c r="B86" s="173" t="s">
        <v>249</v>
      </c>
      <c r="C86" s="173" t="s">
        <v>381</v>
      </c>
      <c r="D86" s="173" t="s">
        <v>263</v>
      </c>
      <c r="E86" s="173" t="s">
        <v>146</v>
      </c>
      <c r="F86" s="171">
        <f t="shared" si="13"/>
        <v>25534.559643255296</v>
      </c>
      <c r="G86" s="171">
        <f t="shared" si="13"/>
        <v>5661.2783351913786</v>
      </c>
      <c r="H86" s="171">
        <v>274854</v>
      </c>
      <c r="I86" s="171">
        <v>60938</v>
      </c>
      <c r="J86" s="171"/>
      <c r="K86" s="152" t="s">
        <v>29</v>
      </c>
      <c r="L86" s="23"/>
      <c r="M86" s="23"/>
      <c r="N86" s="23"/>
      <c r="O86" s="23"/>
    </row>
    <row r="87" spans="1:19" s="54" customFormat="1" ht="14.1" customHeight="1">
      <c r="A87" s="172"/>
      <c r="B87" s="216" t="s">
        <v>275</v>
      </c>
      <c r="C87" s="217"/>
      <c r="D87" s="217"/>
      <c r="E87" s="217"/>
      <c r="F87" s="217"/>
      <c r="G87" s="217"/>
      <c r="H87" s="218"/>
      <c r="I87" s="73">
        <f>SUM(I76:I86)</f>
        <v>599732</v>
      </c>
      <c r="J87" s="73"/>
      <c r="K87" s="79"/>
      <c r="L87" s="53"/>
      <c r="M87" s="53"/>
      <c r="N87" s="53"/>
      <c r="O87" s="53"/>
      <c r="P87" s="53"/>
      <c r="Q87" s="53"/>
      <c r="R87" s="53"/>
      <c r="S87" s="53"/>
    </row>
    <row r="88" spans="1:19" s="26" customFormat="1" ht="13.15">
      <c r="A88" s="153"/>
      <c r="B88" s="219" t="s">
        <v>244</v>
      </c>
      <c r="C88" s="220"/>
      <c r="D88" s="220"/>
      <c r="E88" s="220"/>
      <c r="F88" s="220"/>
      <c r="G88" s="220"/>
      <c r="H88" s="220"/>
      <c r="I88" s="220"/>
      <c r="J88" s="185"/>
      <c r="K88" s="72"/>
      <c r="L88" s="23"/>
      <c r="M88" s="23"/>
      <c r="N88" s="23"/>
      <c r="O88" s="23"/>
      <c r="P88" s="180"/>
      <c r="Q88" s="180"/>
      <c r="R88" s="180"/>
      <c r="S88" s="180"/>
    </row>
    <row r="89" spans="1:19" s="26" customFormat="1" ht="14.1" customHeight="1">
      <c r="A89" s="172">
        <v>1</v>
      </c>
      <c r="B89" s="206" t="s">
        <v>245</v>
      </c>
      <c r="C89" s="207" t="s">
        <v>42</v>
      </c>
      <c r="D89" s="207" t="s">
        <v>382</v>
      </c>
      <c r="E89" s="207" t="s">
        <v>155</v>
      </c>
      <c r="F89" s="171">
        <f t="shared" ref="F89:G89" si="14">H89/10.764</f>
        <v>4878.2051282051289</v>
      </c>
      <c r="G89" s="171">
        <f t="shared" si="14"/>
        <v>4878.2051282051289</v>
      </c>
      <c r="H89" s="171">
        <v>52509</v>
      </c>
      <c r="I89" s="171">
        <v>52509</v>
      </c>
      <c r="J89" s="171"/>
      <c r="K89" s="152" t="s">
        <v>29</v>
      </c>
      <c r="L89" s="77"/>
      <c r="M89" s="180"/>
      <c r="N89" s="180"/>
      <c r="O89" s="180"/>
      <c r="P89" s="180"/>
      <c r="Q89" s="180"/>
      <c r="R89" s="180"/>
      <c r="S89" s="180"/>
    </row>
    <row r="90" spans="1:19" s="54" customFormat="1" ht="14.1" customHeight="1">
      <c r="A90" s="172"/>
      <c r="B90" s="216" t="s">
        <v>275</v>
      </c>
      <c r="C90" s="217"/>
      <c r="D90" s="217"/>
      <c r="E90" s="217"/>
      <c r="F90" s="217"/>
      <c r="G90" s="217"/>
      <c r="H90" s="218"/>
      <c r="I90" s="73">
        <f>SUM(I89:I89)</f>
        <v>52509</v>
      </c>
      <c r="J90" s="73"/>
      <c r="K90" s="79"/>
      <c r="L90" s="75"/>
      <c r="M90" s="53"/>
      <c r="N90" s="53"/>
      <c r="O90" s="53"/>
      <c r="P90" s="53"/>
      <c r="Q90" s="53"/>
      <c r="R90" s="53"/>
      <c r="S90" s="53"/>
    </row>
    <row r="91" spans="1:19" ht="14.65">
      <c r="A91" s="80"/>
      <c r="B91" s="221" t="s">
        <v>275</v>
      </c>
      <c r="C91" s="222"/>
      <c r="D91" s="222"/>
      <c r="E91" s="222"/>
      <c r="F91" s="222"/>
      <c r="G91" s="222"/>
      <c r="H91" s="222"/>
      <c r="I91" s="81">
        <f>I37+I48+I54+I61+I64+I67+I74+I87+I90</f>
        <v>5890304</v>
      </c>
      <c r="J91" s="82"/>
      <c r="K91" s="83"/>
    </row>
    <row r="94" spans="1:19">
      <c r="F94" s="84"/>
    </row>
  </sheetData>
  <autoFilter ref="A4:K91" xr:uid="{DFB0C4B3-5270-44E0-AB2A-4AB85ABC7801}"/>
  <mergeCells count="21">
    <mergeCell ref="B48:H48"/>
    <mergeCell ref="B49:I49"/>
    <mergeCell ref="A1:K1"/>
    <mergeCell ref="A2:K2"/>
    <mergeCell ref="B5:I5"/>
    <mergeCell ref="B37:H37"/>
    <mergeCell ref="B38:I38"/>
    <mergeCell ref="B87:H87"/>
    <mergeCell ref="B88:I88"/>
    <mergeCell ref="B90:H90"/>
    <mergeCell ref="B91:H91"/>
    <mergeCell ref="B54:H54"/>
    <mergeCell ref="B55:I55"/>
    <mergeCell ref="B61:H61"/>
    <mergeCell ref="B62:I62"/>
    <mergeCell ref="B64:H64"/>
    <mergeCell ref="B65:I65"/>
    <mergeCell ref="B67:H67"/>
    <mergeCell ref="B68:I68"/>
    <mergeCell ref="B74:H74"/>
    <mergeCell ref="B75:I75"/>
  </mergeCells>
  <pageMargins left="0.70866141732283472" right="0.70866141732283472" top="0.74803149606299213" bottom="0.74803149606299213" header="0.31496062992125984" footer="0.31496062992125984"/>
  <pageSetup paperSize="17" scale="85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BB1F1-AB2D-4BAF-A100-22805A4BEB38}">
  <sheetPr codeName="Hoja3"/>
  <dimension ref="A1:K48"/>
  <sheetViews>
    <sheetView zoomScaleNormal="100" workbookViewId="0">
      <selection activeCell="I38" sqref="I38"/>
    </sheetView>
  </sheetViews>
  <sheetFormatPr defaultColWidth="11.42578125" defaultRowHeight="14.25"/>
  <cols>
    <col min="1" max="1" width="2.7109375" customWidth="1"/>
    <col min="2" max="2" width="17.42578125" customWidth="1"/>
    <col min="3" max="3" width="20.42578125" customWidth="1"/>
    <col min="4" max="4" width="37" customWidth="1"/>
    <col min="5" max="5" width="22.42578125" customWidth="1"/>
    <col min="7" max="7" width="13.7109375" customWidth="1"/>
    <col min="8" max="8" width="26.140625" customWidth="1"/>
    <col min="9" max="9" width="12.5703125" customWidth="1"/>
  </cols>
  <sheetData>
    <row r="1" spans="1:9" s="54" customFormat="1" ht="21.75">
      <c r="A1" s="85"/>
      <c r="B1" s="237" t="s">
        <v>0</v>
      </c>
      <c r="C1" s="237"/>
      <c r="D1" s="237"/>
      <c r="E1" s="237"/>
      <c r="F1" s="237"/>
      <c r="G1" s="237"/>
      <c r="H1" s="237"/>
      <c r="I1" s="237"/>
    </row>
    <row r="2" spans="1:9" s="54" customFormat="1" ht="14.65">
      <c r="A2" s="56"/>
      <c r="B2" s="238" t="s">
        <v>383</v>
      </c>
      <c r="C2" s="238"/>
      <c r="D2" s="238"/>
      <c r="E2" s="238"/>
      <c r="F2" s="238"/>
      <c r="G2" s="238"/>
      <c r="H2" s="238"/>
      <c r="I2" s="238"/>
    </row>
    <row r="3" spans="1:9" s="56" customFormat="1" ht="15" customHeight="1"/>
    <row r="4" spans="1:9" s="54" customFormat="1">
      <c r="A4" s="86"/>
      <c r="B4" s="61" t="s">
        <v>2</v>
      </c>
      <c r="C4" s="61" t="s">
        <v>277</v>
      </c>
      <c r="D4" s="61" t="s">
        <v>278</v>
      </c>
      <c r="E4" s="61" t="s">
        <v>5</v>
      </c>
      <c r="F4" s="61" t="s">
        <v>6</v>
      </c>
      <c r="G4" s="61" t="s">
        <v>7</v>
      </c>
      <c r="H4" s="61" t="s">
        <v>13</v>
      </c>
      <c r="I4" s="62" t="s">
        <v>384</v>
      </c>
    </row>
    <row r="5" spans="1:9" s="54" customFormat="1" ht="19.5">
      <c r="A5" s="153"/>
      <c r="B5" s="226" t="s">
        <v>17</v>
      </c>
      <c r="C5" s="226"/>
      <c r="D5" s="226"/>
      <c r="E5" s="226"/>
      <c r="F5" s="226"/>
      <c r="G5" s="226"/>
      <c r="H5" s="226"/>
      <c r="I5" s="226"/>
    </row>
    <row r="6" spans="1:9" s="54" customFormat="1">
      <c r="A6" s="172">
        <v>1</v>
      </c>
      <c r="B6" s="173" t="s">
        <v>18</v>
      </c>
      <c r="C6" s="173" t="s">
        <v>385</v>
      </c>
      <c r="D6" s="173" t="s">
        <v>20</v>
      </c>
      <c r="E6" s="172" t="s">
        <v>21</v>
      </c>
      <c r="F6" s="158">
        <f t="shared" ref="F6:F12" si="0">G6/10.764</f>
        <v>5612.5046451133412</v>
      </c>
      <c r="G6" s="158">
        <v>60413</v>
      </c>
      <c r="H6" s="157"/>
      <c r="I6" s="154" t="s">
        <v>386</v>
      </c>
    </row>
    <row r="7" spans="1:9" s="54" customFormat="1">
      <c r="A7" s="172">
        <v>2</v>
      </c>
      <c r="B7" s="173" t="s">
        <v>18</v>
      </c>
      <c r="C7" s="173" t="s">
        <v>387</v>
      </c>
      <c r="D7" s="173" t="s">
        <v>388</v>
      </c>
      <c r="E7" s="172" t="s">
        <v>21</v>
      </c>
      <c r="F7" s="158">
        <f t="shared" si="0"/>
        <v>11148.272017837236</v>
      </c>
      <c r="G7" s="158">
        <v>120000</v>
      </c>
      <c r="H7" s="157"/>
      <c r="I7" s="154" t="s">
        <v>389</v>
      </c>
    </row>
    <row r="8" spans="1:9" s="54" customFormat="1">
      <c r="A8" s="172">
        <v>3</v>
      </c>
      <c r="B8" s="173" t="s">
        <v>18</v>
      </c>
      <c r="C8" s="173" t="s">
        <v>390</v>
      </c>
      <c r="D8" s="173" t="s">
        <v>81</v>
      </c>
      <c r="E8" s="172" t="s">
        <v>391</v>
      </c>
      <c r="F8" s="158">
        <f t="shared" si="0"/>
        <v>16092.995169082127</v>
      </c>
      <c r="G8" s="158">
        <v>173225</v>
      </c>
      <c r="H8" s="157"/>
      <c r="I8" s="154" t="s">
        <v>386</v>
      </c>
    </row>
    <row r="9" spans="1:9" s="54" customFormat="1">
      <c r="A9" s="172">
        <v>4</v>
      </c>
      <c r="B9" s="173" t="s">
        <v>18</v>
      </c>
      <c r="C9" s="173" t="s">
        <v>392</v>
      </c>
      <c r="D9" s="173" t="s">
        <v>393</v>
      </c>
      <c r="E9" s="172" t="s">
        <v>394</v>
      </c>
      <c r="F9" s="158">
        <f t="shared" si="0"/>
        <v>14244.054254923822</v>
      </c>
      <c r="G9" s="158">
        <v>153323</v>
      </c>
      <c r="H9" s="157"/>
      <c r="I9" s="154" t="s">
        <v>395</v>
      </c>
    </row>
    <row r="10" spans="1:9" s="54" customFormat="1">
      <c r="A10" s="172">
        <v>5</v>
      </c>
      <c r="B10" s="173" t="s">
        <v>18</v>
      </c>
      <c r="C10" s="173" t="s">
        <v>396</v>
      </c>
      <c r="D10" s="173" t="s">
        <v>397</v>
      </c>
      <c r="E10" s="172" t="s">
        <v>78</v>
      </c>
      <c r="F10" s="158">
        <f t="shared" si="0"/>
        <v>13285.024154589373</v>
      </c>
      <c r="G10" s="158">
        <v>143000</v>
      </c>
      <c r="H10" s="157"/>
      <c r="I10" s="154" t="s">
        <v>389</v>
      </c>
    </row>
    <row r="11" spans="1:9" s="54" customFormat="1">
      <c r="A11" s="172">
        <v>6</v>
      </c>
      <c r="B11" s="173" t="s">
        <v>18</v>
      </c>
      <c r="C11" s="173" t="s">
        <v>398</v>
      </c>
      <c r="D11" s="173" t="s">
        <v>399</v>
      </c>
      <c r="E11" s="172" t="s">
        <v>107</v>
      </c>
      <c r="F11" s="158">
        <f t="shared" si="0"/>
        <v>21291.991824600522</v>
      </c>
      <c r="G11" s="158">
        <v>229187</v>
      </c>
      <c r="H11" s="157"/>
      <c r="I11" s="154" t="s">
        <v>395</v>
      </c>
    </row>
    <row r="12" spans="1:9" s="26" customFormat="1" ht="13.15">
      <c r="A12" s="172">
        <v>7</v>
      </c>
      <c r="B12" s="173" t="s">
        <v>18</v>
      </c>
      <c r="C12" s="173" t="s">
        <v>400</v>
      </c>
      <c r="D12" s="173" t="s">
        <v>133</v>
      </c>
      <c r="E12" s="172" t="s">
        <v>111</v>
      </c>
      <c r="F12" s="158">
        <f t="shared" si="0"/>
        <v>9661.8357487922713</v>
      </c>
      <c r="G12" s="158">
        <v>104000</v>
      </c>
      <c r="H12" s="157"/>
      <c r="I12" s="154" t="s">
        <v>395</v>
      </c>
    </row>
    <row r="13" spans="1:9" s="26" customFormat="1" ht="13.15">
      <c r="A13" s="172">
        <v>8</v>
      </c>
      <c r="B13" s="201" t="s">
        <v>18</v>
      </c>
      <c r="C13" s="201" t="s">
        <v>401</v>
      </c>
      <c r="D13" s="201" t="s">
        <v>402</v>
      </c>
      <c r="E13" s="202" t="s">
        <v>139</v>
      </c>
      <c r="F13" s="203">
        <f t="shared" ref="F13:F15" si="1">G13/10.764</f>
        <v>6336.0274990709777</v>
      </c>
      <c r="G13" s="203">
        <v>68201</v>
      </c>
      <c r="H13" s="204"/>
      <c r="I13" s="205" t="s">
        <v>386</v>
      </c>
    </row>
    <row r="14" spans="1:9" s="26" customFormat="1" ht="13.15">
      <c r="A14" s="172">
        <v>9</v>
      </c>
      <c r="B14" s="173" t="s">
        <v>18</v>
      </c>
      <c r="C14" s="173" t="s">
        <v>403</v>
      </c>
      <c r="D14" s="173" t="s">
        <v>402</v>
      </c>
      <c r="E14" s="172" t="s">
        <v>139</v>
      </c>
      <c r="F14" s="158">
        <f t="shared" si="1"/>
        <v>7500.0000000000009</v>
      </c>
      <c r="G14" s="158">
        <v>80730</v>
      </c>
      <c r="H14" s="157"/>
      <c r="I14" s="154" t="s">
        <v>395</v>
      </c>
    </row>
    <row r="15" spans="1:9" s="26" customFormat="1" ht="13.15">
      <c r="A15" s="172">
        <v>10</v>
      </c>
      <c r="B15" s="173" t="s">
        <v>18</v>
      </c>
      <c r="C15" s="173" t="s">
        <v>404</v>
      </c>
      <c r="D15" s="173" t="s">
        <v>402</v>
      </c>
      <c r="E15" s="172" t="s">
        <v>139</v>
      </c>
      <c r="F15" s="158">
        <f t="shared" si="1"/>
        <v>11200.018580453363</v>
      </c>
      <c r="G15" s="158">
        <v>120557</v>
      </c>
      <c r="H15" s="157"/>
      <c r="I15" s="154" t="s">
        <v>386</v>
      </c>
    </row>
    <row r="16" spans="1:9" s="26" customFormat="1" ht="14.25" customHeight="1">
      <c r="A16" s="167"/>
      <c r="B16" s="231" t="s">
        <v>275</v>
      </c>
      <c r="C16" s="232"/>
      <c r="D16" s="232"/>
      <c r="E16" s="233"/>
      <c r="F16" s="87">
        <f>SUM(F6:F15)</f>
        <v>116372.72389446304</v>
      </c>
      <c r="G16" s="88">
        <f>SUM(G6:G15)</f>
        <v>1252636</v>
      </c>
      <c r="H16" s="89"/>
      <c r="I16" s="90"/>
    </row>
    <row r="17" spans="1:9" s="54" customFormat="1" ht="14.25" customHeight="1">
      <c r="A17" s="153"/>
      <c r="B17" s="226" t="s">
        <v>248</v>
      </c>
      <c r="C17" s="226"/>
      <c r="D17" s="226"/>
      <c r="E17" s="226"/>
      <c r="F17" s="226"/>
      <c r="G17" s="226"/>
      <c r="H17" s="226"/>
      <c r="I17" s="226"/>
    </row>
    <row r="18" spans="1:9" s="26" customFormat="1" ht="13.15">
      <c r="A18" s="172">
        <v>1</v>
      </c>
      <c r="B18" s="173"/>
      <c r="C18" s="173"/>
      <c r="D18" s="173"/>
      <c r="E18" s="172"/>
      <c r="F18" s="158"/>
      <c r="G18" s="158"/>
      <c r="H18" s="157"/>
      <c r="I18" s="154"/>
    </row>
    <row r="19" spans="1:9" s="92" customFormat="1" ht="13.15">
      <c r="A19" s="43"/>
      <c r="B19" s="231" t="s">
        <v>275</v>
      </c>
      <c r="C19" s="232"/>
      <c r="D19" s="232"/>
      <c r="E19" s="233"/>
      <c r="F19" s="87">
        <f>SUM(F18:F18)</f>
        <v>0</v>
      </c>
      <c r="G19" s="88">
        <f>SUM(G18:G18)</f>
        <v>0</v>
      </c>
      <c r="H19" s="88"/>
      <c r="I19" s="90"/>
    </row>
    <row r="20" spans="1:9" s="54" customFormat="1" ht="19.5">
      <c r="A20" s="153"/>
      <c r="B20" s="226" t="s">
        <v>161</v>
      </c>
      <c r="C20" s="226"/>
      <c r="D20" s="226"/>
      <c r="E20" s="226"/>
      <c r="F20" s="226"/>
      <c r="G20" s="226"/>
      <c r="H20" s="226"/>
      <c r="I20" s="226"/>
    </row>
    <row r="21" spans="1:9" s="54" customFormat="1">
      <c r="A21" s="172">
        <v>1</v>
      </c>
      <c r="B21" s="173" t="s">
        <v>405</v>
      </c>
      <c r="C21" s="173" t="s">
        <v>396</v>
      </c>
      <c r="D21" s="173" t="s">
        <v>406</v>
      </c>
      <c r="E21" s="172" t="s">
        <v>78</v>
      </c>
      <c r="F21" s="171">
        <f>G21/10.764</f>
        <v>9290.2266815310304</v>
      </c>
      <c r="G21" s="171">
        <v>100000</v>
      </c>
      <c r="H21" s="171"/>
      <c r="I21" s="154" t="s">
        <v>389</v>
      </c>
    </row>
    <row r="22" spans="1:9" s="54" customFormat="1">
      <c r="A22" s="172">
        <v>2</v>
      </c>
      <c r="B22" s="173" t="s">
        <v>346</v>
      </c>
      <c r="C22" s="173" t="s">
        <v>407</v>
      </c>
      <c r="D22" s="173" t="s">
        <v>352</v>
      </c>
      <c r="E22" s="172" t="s">
        <v>353</v>
      </c>
      <c r="F22" s="171">
        <f>G22/10.764</f>
        <v>26799.981419546639</v>
      </c>
      <c r="G22" s="171">
        <v>288475</v>
      </c>
      <c r="H22" s="171"/>
      <c r="I22" s="154" t="s">
        <v>386</v>
      </c>
    </row>
    <row r="23" spans="1:9" s="26" customFormat="1" ht="13.15">
      <c r="A23" s="172"/>
      <c r="B23" s="227" t="s">
        <v>275</v>
      </c>
      <c r="C23" s="227"/>
      <c r="D23" s="227"/>
      <c r="E23" s="227"/>
      <c r="F23" s="87">
        <f>SUM(F21:F22)</f>
        <v>36090.208101077667</v>
      </c>
      <c r="G23" s="70">
        <f>SUM(G21:G22)</f>
        <v>388475</v>
      </c>
      <c r="H23" s="70"/>
      <c r="I23" s="93"/>
    </row>
    <row r="24" spans="1:9" s="54" customFormat="1" ht="19.5">
      <c r="A24" s="153"/>
      <c r="B24" s="226" t="s">
        <v>269</v>
      </c>
      <c r="C24" s="226"/>
      <c r="D24" s="226"/>
      <c r="E24" s="226"/>
      <c r="F24" s="226"/>
      <c r="G24" s="226"/>
      <c r="H24" s="226"/>
      <c r="I24" s="226"/>
    </row>
    <row r="25" spans="1:9" s="26" customFormat="1" ht="13.15">
      <c r="A25" s="172"/>
      <c r="B25" s="173"/>
      <c r="C25" s="173"/>
      <c r="D25" s="173"/>
      <c r="E25" s="172"/>
      <c r="F25" s="171"/>
      <c r="G25" s="171"/>
      <c r="H25" s="171"/>
      <c r="I25" s="93"/>
    </row>
    <row r="26" spans="1:9" s="26" customFormat="1" ht="13.15">
      <c r="A26" s="172"/>
      <c r="B26" s="228" t="s">
        <v>275</v>
      </c>
      <c r="C26" s="229"/>
      <c r="D26" s="229"/>
      <c r="E26" s="230"/>
      <c r="F26" s="94">
        <f>SUM(F25:F25)</f>
        <v>0</v>
      </c>
      <c r="G26" s="94">
        <f>SUM(G25:G25)</f>
        <v>0</v>
      </c>
      <c r="H26" s="94"/>
      <c r="I26" s="93"/>
    </row>
    <row r="27" spans="1:9" s="54" customFormat="1" ht="19.5">
      <c r="A27" s="153"/>
      <c r="B27" s="226" t="s">
        <v>244</v>
      </c>
      <c r="C27" s="239"/>
      <c r="D27" s="226"/>
      <c r="E27" s="226"/>
      <c r="F27" s="226"/>
      <c r="G27" s="226"/>
      <c r="H27" s="226"/>
      <c r="I27" s="226"/>
    </row>
    <row r="28" spans="1:9" s="26" customFormat="1" ht="12.75" customHeight="1">
      <c r="A28" s="172">
        <v>1</v>
      </c>
      <c r="B28" s="95"/>
      <c r="C28" s="96"/>
      <c r="D28" s="97"/>
      <c r="E28" s="98"/>
      <c r="F28" s="99"/>
      <c r="G28" s="100"/>
      <c r="H28" s="100"/>
      <c r="I28" s="101"/>
    </row>
    <row r="29" spans="1:9" s="26" customFormat="1" ht="13.15">
      <c r="A29" s="172"/>
      <c r="B29" s="234" t="s">
        <v>275</v>
      </c>
      <c r="C29" s="235"/>
      <c r="D29" s="235"/>
      <c r="E29" s="236"/>
      <c r="F29" s="102">
        <f>SUM(F28:F28)</f>
        <v>0</v>
      </c>
      <c r="G29" s="94">
        <f>SUM(G28:G28)</f>
        <v>0</v>
      </c>
      <c r="H29" s="94"/>
      <c r="I29" s="93"/>
    </row>
    <row r="30" spans="1:9" s="54" customFormat="1" ht="19.5">
      <c r="A30" s="153"/>
      <c r="B30" s="226" t="s">
        <v>186</v>
      </c>
      <c r="C30" s="226"/>
      <c r="D30" s="226"/>
      <c r="E30" s="226"/>
      <c r="F30" s="226"/>
      <c r="G30" s="226"/>
      <c r="H30" s="226"/>
      <c r="I30" s="226"/>
    </row>
    <row r="31" spans="1:9" s="26" customFormat="1" ht="13.15">
      <c r="A31" s="172">
        <v>1</v>
      </c>
      <c r="B31" s="173"/>
      <c r="C31" s="173"/>
      <c r="D31" s="173"/>
      <c r="E31" s="172"/>
      <c r="F31" s="171"/>
      <c r="G31" s="158"/>
      <c r="H31" s="158"/>
      <c r="I31" s="154"/>
    </row>
    <row r="32" spans="1:9" s="26" customFormat="1" ht="13.15">
      <c r="A32" s="172"/>
      <c r="B32" s="227" t="s">
        <v>275</v>
      </c>
      <c r="C32" s="227"/>
      <c r="D32" s="227"/>
      <c r="E32" s="227"/>
      <c r="F32" s="94">
        <f>SUM(F31:F31)</f>
        <v>0</v>
      </c>
      <c r="G32" s="70">
        <f>SUM(G31:G31)</f>
        <v>0</v>
      </c>
      <c r="H32" s="70"/>
      <c r="I32" s="93"/>
    </row>
    <row r="33" spans="1:11" s="54" customFormat="1" ht="19.5">
      <c r="A33" s="153"/>
      <c r="B33" s="226" t="s">
        <v>196</v>
      </c>
      <c r="C33" s="226"/>
      <c r="D33" s="226"/>
      <c r="E33" s="226"/>
      <c r="F33" s="226"/>
      <c r="G33" s="226"/>
      <c r="H33" s="226"/>
      <c r="I33" s="226"/>
    </row>
    <row r="34" spans="1:11" s="54" customFormat="1">
      <c r="A34" s="172"/>
      <c r="B34" s="173"/>
      <c r="C34" s="173"/>
      <c r="D34" s="173"/>
      <c r="E34" s="172"/>
      <c r="F34" s="171"/>
      <c r="G34" s="171"/>
      <c r="H34" s="103"/>
      <c r="I34" s="101"/>
    </row>
    <row r="35" spans="1:11" s="26" customFormat="1" ht="13.15">
      <c r="A35" s="172"/>
      <c r="B35" s="227" t="s">
        <v>275</v>
      </c>
      <c r="C35" s="227"/>
      <c r="D35" s="227"/>
      <c r="E35" s="227"/>
      <c r="F35" s="70">
        <f>SUM(F34:F34)</f>
        <v>0</v>
      </c>
      <c r="G35" s="70">
        <f>SUM(G34:G34)</f>
        <v>0</v>
      </c>
      <c r="H35" s="70"/>
      <c r="I35" s="93"/>
    </row>
    <row r="36" spans="1:11" s="54" customFormat="1" ht="19.5">
      <c r="A36" s="153"/>
      <c r="B36" s="226" t="s">
        <v>230</v>
      </c>
      <c r="C36" s="226"/>
      <c r="D36" s="226"/>
      <c r="E36" s="226"/>
      <c r="F36" s="226"/>
      <c r="G36" s="226"/>
      <c r="H36" s="226"/>
      <c r="I36" s="226"/>
    </row>
    <row r="37" spans="1:11" s="26" customFormat="1" ht="13.15">
      <c r="A37" s="172">
        <v>1</v>
      </c>
      <c r="B37" s="173" t="s">
        <v>231</v>
      </c>
      <c r="C37" s="173" t="s">
        <v>408</v>
      </c>
      <c r="D37" s="173" t="s">
        <v>409</v>
      </c>
      <c r="E37" s="171" t="s">
        <v>78</v>
      </c>
      <c r="F37" s="171">
        <f>G37/10.764</f>
        <v>12753.623188405798</v>
      </c>
      <c r="G37" s="157">
        <v>137280</v>
      </c>
      <c r="H37" s="154"/>
      <c r="I37" s="172" t="s">
        <v>389</v>
      </c>
    </row>
    <row r="38" spans="1:11" s="26" customFormat="1" ht="13.15">
      <c r="A38" s="172"/>
      <c r="B38" s="228" t="s">
        <v>275</v>
      </c>
      <c r="C38" s="229"/>
      <c r="D38" s="229"/>
      <c r="E38" s="230"/>
      <c r="F38" s="94">
        <f>SUM(F37:F37)</f>
        <v>12753.623188405798</v>
      </c>
      <c r="G38" s="70">
        <f>SUM(G37:G37)</f>
        <v>137280</v>
      </c>
      <c r="H38" s="105"/>
      <c r="I38" s="93"/>
    </row>
    <row r="39" spans="1:11" s="54" customFormat="1" ht="19.5">
      <c r="A39" s="153"/>
      <c r="B39" s="226" t="s">
        <v>207</v>
      </c>
      <c r="C39" s="226"/>
      <c r="D39" s="226"/>
      <c r="E39" s="226"/>
      <c r="F39" s="226"/>
      <c r="G39" s="226"/>
      <c r="H39" s="226"/>
      <c r="I39" s="226"/>
    </row>
    <row r="40" spans="1:11" s="54" customFormat="1">
      <c r="A40" s="172">
        <v>1</v>
      </c>
      <c r="B40" s="173" t="s">
        <v>208</v>
      </c>
      <c r="C40" s="173" t="s">
        <v>410</v>
      </c>
      <c r="D40" s="173" t="s">
        <v>411</v>
      </c>
      <c r="E40" s="172" t="s">
        <v>78</v>
      </c>
      <c r="F40" s="171">
        <f>G40/10.764</f>
        <v>11550.91044221479</v>
      </c>
      <c r="G40" s="171">
        <v>124334</v>
      </c>
      <c r="H40" s="173"/>
      <c r="I40" s="172" t="s">
        <v>386</v>
      </c>
    </row>
    <row r="41" spans="1:11" s="54" customFormat="1">
      <c r="A41" s="172">
        <v>2</v>
      </c>
      <c r="B41" s="173" t="s">
        <v>208</v>
      </c>
      <c r="C41" s="173" t="s">
        <v>412</v>
      </c>
      <c r="D41" s="173" t="s">
        <v>220</v>
      </c>
      <c r="E41" s="172" t="s">
        <v>221</v>
      </c>
      <c r="F41" s="171">
        <f>G41/10.764</f>
        <v>5549.981419546637</v>
      </c>
      <c r="G41" s="171">
        <v>59740</v>
      </c>
      <c r="H41" s="173"/>
      <c r="I41" s="172" t="s">
        <v>395</v>
      </c>
    </row>
    <row r="42" spans="1:11" s="54" customFormat="1">
      <c r="A42" s="167">
        <v>3</v>
      </c>
      <c r="B42" s="173" t="s">
        <v>208</v>
      </c>
      <c r="C42" s="173" t="s">
        <v>328</v>
      </c>
      <c r="D42" s="173" t="s">
        <v>227</v>
      </c>
      <c r="E42" s="172" t="s">
        <v>155</v>
      </c>
      <c r="F42" s="171">
        <f>G42/10.764</f>
        <v>5562.8948346339657</v>
      </c>
      <c r="G42" s="171">
        <v>59879</v>
      </c>
      <c r="H42" s="173"/>
      <c r="I42" s="172" t="s">
        <v>386</v>
      </c>
    </row>
    <row r="43" spans="1:11" s="26" customFormat="1" ht="13.15">
      <c r="A43" s="167"/>
      <c r="B43" s="231" t="s">
        <v>275</v>
      </c>
      <c r="C43" s="232"/>
      <c r="D43" s="232"/>
      <c r="E43" s="233"/>
      <c r="F43" s="87">
        <f>SUM(F40:F42)</f>
        <v>22663.786696395393</v>
      </c>
      <c r="G43" s="88">
        <f>SUM(G40:G42)</f>
        <v>243953</v>
      </c>
      <c r="H43" s="105"/>
      <c r="I43" s="93"/>
    </row>
    <row r="44" spans="1:11" s="54" customFormat="1" ht="17.25">
      <c r="A44" s="86"/>
      <c r="B44" s="106"/>
      <c r="C44" s="107"/>
      <c r="D44" s="107"/>
      <c r="E44" s="107" t="s">
        <v>275</v>
      </c>
      <c r="F44" s="108">
        <f>F16+F19+F23+F26+F29+F32+F35+F38+F43</f>
        <v>187880.3418803419</v>
      </c>
      <c r="G44" s="108">
        <f>G16+G19+G23+G26+G29+G32+G35+G38+G43</f>
        <v>2022344</v>
      </c>
      <c r="H44" s="108"/>
      <c r="I44" s="109"/>
      <c r="K44" s="188"/>
    </row>
    <row r="46" spans="1:11">
      <c r="G46" s="84"/>
    </row>
    <row r="47" spans="1:11">
      <c r="G47" s="84"/>
    </row>
    <row r="48" spans="1:11">
      <c r="G48" s="84"/>
    </row>
  </sheetData>
  <autoFilter ref="A4:I24" xr:uid="{730A3079-73D7-4EFC-9C97-F444DB0FFBD8}"/>
  <mergeCells count="20">
    <mergeCell ref="B30:I30"/>
    <mergeCell ref="B32:E32"/>
    <mergeCell ref="B29:E29"/>
    <mergeCell ref="B1:I1"/>
    <mergeCell ref="B2:I2"/>
    <mergeCell ref="B5:I5"/>
    <mergeCell ref="B19:E19"/>
    <mergeCell ref="B20:I20"/>
    <mergeCell ref="B23:E23"/>
    <mergeCell ref="B24:I24"/>
    <mergeCell ref="B26:E26"/>
    <mergeCell ref="B27:I27"/>
    <mergeCell ref="B16:E16"/>
    <mergeCell ref="B17:I17"/>
    <mergeCell ref="B33:I33"/>
    <mergeCell ref="B35:E35"/>
    <mergeCell ref="B36:I36"/>
    <mergeCell ref="B38:E38"/>
    <mergeCell ref="B43:E43"/>
    <mergeCell ref="B39:I39"/>
  </mergeCells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71C8B-BA0D-4DD2-A0D1-30FAB4210390}">
  <sheetPr codeName="Hoja4"/>
  <dimension ref="A1:P18"/>
  <sheetViews>
    <sheetView workbookViewId="0">
      <selection activeCell="D16" sqref="D16"/>
    </sheetView>
  </sheetViews>
  <sheetFormatPr defaultColWidth="11.42578125" defaultRowHeight="14.25"/>
  <cols>
    <col min="1" max="1" width="3" customWidth="1"/>
    <col min="2" max="2" width="17.7109375" customWidth="1"/>
    <col min="3" max="3" width="20.140625" customWidth="1"/>
    <col min="4" max="4" width="33.5703125" customWidth="1"/>
    <col min="5" max="5" width="24" customWidth="1"/>
    <col min="6" max="6" width="15.28515625" customWidth="1"/>
    <col min="7" max="8" width="14.5703125" customWidth="1"/>
    <col min="9" max="9" width="7.5703125" customWidth="1"/>
    <col min="10" max="10" width="16.5703125" customWidth="1"/>
    <col min="11" max="11" width="18.28515625" customWidth="1"/>
    <col min="12" max="12" width="26.28515625" customWidth="1"/>
    <col min="13" max="13" width="9.42578125" customWidth="1"/>
    <col min="14" max="14" width="7.7109375" customWidth="1"/>
  </cols>
  <sheetData>
    <row r="1" spans="1:16" s="54" customFormat="1" ht="21.75">
      <c r="A1" s="85"/>
      <c r="B1" s="237" t="s">
        <v>0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85"/>
      <c r="P1" s="85"/>
    </row>
    <row r="2" spans="1:16" s="54" customFormat="1" ht="15.75" customHeight="1">
      <c r="A2" s="85"/>
      <c r="B2" s="215" t="s">
        <v>413</v>
      </c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85"/>
      <c r="P2" s="85"/>
    </row>
    <row r="3" spans="1:16" s="3" customFormat="1" ht="13.15">
      <c r="A3" s="110"/>
      <c r="B3" s="83" t="s">
        <v>2</v>
      </c>
      <c r="C3" s="61" t="s">
        <v>414</v>
      </c>
      <c r="D3" s="61" t="s">
        <v>4</v>
      </c>
      <c r="E3" s="61" t="s">
        <v>415</v>
      </c>
      <c r="F3" s="61" t="s">
        <v>416</v>
      </c>
      <c r="G3" s="61" t="s">
        <v>417</v>
      </c>
      <c r="H3" s="61" t="s">
        <v>418</v>
      </c>
      <c r="I3" s="61" t="s">
        <v>9</v>
      </c>
      <c r="J3" s="61" t="s">
        <v>10</v>
      </c>
      <c r="K3" s="62" t="s">
        <v>12</v>
      </c>
      <c r="L3" s="62" t="s">
        <v>13</v>
      </c>
      <c r="M3" s="62" t="s">
        <v>15</v>
      </c>
      <c r="N3" s="62" t="s">
        <v>419</v>
      </c>
    </row>
    <row r="4" spans="1:16" s="41" customFormat="1" ht="13.15">
      <c r="A4" s="153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111"/>
      <c r="M4" s="111"/>
      <c r="N4" s="111"/>
      <c r="O4" s="85"/>
      <c r="P4" s="85"/>
    </row>
    <row r="5" spans="1:16" s="23" customFormat="1" ht="13.15">
      <c r="A5" s="176">
        <v>1</v>
      </c>
      <c r="B5" s="176" t="s">
        <v>208</v>
      </c>
      <c r="C5" s="176" t="s">
        <v>211</v>
      </c>
      <c r="D5" s="176" t="s">
        <v>411</v>
      </c>
      <c r="E5" s="43" t="s">
        <v>420</v>
      </c>
      <c r="F5" s="114">
        <v>7.3</v>
      </c>
      <c r="G5" s="112" t="s">
        <v>93</v>
      </c>
      <c r="H5" s="112" t="s">
        <v>93</v>
      </c>
      <c r="I5" s="113" t="s">
        <v>23</v>
      </c>
      <c r="J5" s="114" t="s">
        <v>24</v>
      </c>
      <c r="K5" s="112" t="s">
        <v>25</v>
      </c>
      <c r="L5" s="114"/>
      <c r="M5" s="114" t="s">
        <v>28</v>
      </c>
      <c r="N5" s="114"/>
      <c r="O5" s="115"/>
      <c r="P5" s="116"/>
    </row>
    <row r="6" spans="1:16" s="23" customFormat="1" ht="13.15">
      <c r="A6" s="176">
        <v>2</v>
      </c>
      <c r="B6" s="176" t="s">
        <v>270</v>
      </c>
      <c r="C6" s="176" t="s">
        <v>421</v>
      </c>
      <c r="D6" s="176" t="s">
        <v>273</v>
      </c>
      <c r="E6" s="43" t="s">
        <v>420</v>
      </c>
      <c r="F6" s="114">
        <v>3.5</v>
      </c>
      <c r="G6" s="112" t="s">
        <v>93</v>
      </c>
      <c r="H6" s="112" t="s">
        <v>93</v>
      </c>
      <c r="I6" s="113" t="s">
        <v>23</v>
      </c>
      <c r="J6" s="114" t="s">
        <v>24</v>
      </c>
      <c r="K6" s="112" t="s">
        <v>422</v>
      </c>
      <c r="L6" s="114"/>
      <c r="M6" s="114" t="s">
        <v>28</v>
      </c>
      <c r="N6" s="114"/>
      <c r="O6" s="115"/>
      <c r="P6" s="116"/>
    </row>
    <row r="7" spans="1:16" s="23" customFormat="1" ht="13.15">
      <c r="A7" s="176">
        <v>3</v>
      </c>
      <c r="B7" s="176" t="s">
        <v>245</v>
      </c>
      <c r="C7" s="176" t="s">
        <v>423</v>
      </c>
      <c r="D7" s="176" t="s">
        <v>424</v>
      </c>
      <c r="E7" s="43" t="s">
        <v>420</v>
      </c>
      <c r="F7" s="114">
        <v>1</v>
      </c>
      <c r="G7" s="112" t="s">
        <v>93</v>
      </c>
      <c r="H7" s="112" t="s">
        <v>93</v>
      </c>
      <c r="I7" s="113" t="s">
        <v>57</v>
      </c>
      <c r="J7" s="114" t="s">
        <v>425</v>
      </c>
      <c r="K7" s="112" t="s">
        <v>422</v>
      </c>
      <c r="L7" s="114"/>
      <c r="M7" s="114" t="s">
        <v>28</v>
      </c>
      <c r="N7" s="114"/>
      <c r="O7" s="115"/>
      <c r="P7" s="116"/>
    </row>
    <row r="8" spans="1:16" s="23" customFormat="1" ht="13.15">
      <c r="A8" s="176">
        <v>4</v>
      </c>
      <c r="B8" s="170" t="s">
        <v>162</v>
      </c>
      <c r="C8" s="170" t="s">
        <v>426</v>
      </c>
      <c r="D8" s="170" t="s">
        <v>427</v>
      </c>
      <c r="E8" s="172" t="s">
        <v>420</v>
      </c>
      <c r="F8" s="114">
        <v>2</v>
      </c>
      <c r="G8" s="112" t="s">
        <v>93</v>
      </c>
      <c r="H8" s="112" t="s">
        <v>93</v>
      </c>
      <c r="I8" s="113" t="s">
        <v>57</v>
      </c>
      <c r="J8" s="114" t="s">
        <v>24</v>
      </c>
      <c r="K8" s="112" t="s">
        <v>25</v>
      </c>
      <c r="L8" s="114"/>
      <c r="M8" s="114" t="s">
        <v>28</v>
      </c>
      <c r="N8" s="114"/>
      <c r="O8" s="115"/>
      <c r="P8" s="116"/>
    </row>
    <row r="9" spans="1:16" s="23" customFormat="1" ht="13.15">
      <c r="A9" s="176">
        <v>5</v>
      </c>
      <c r="B9" s="176" t="s">
        <v>231</v>
      </c>
      <c r="C9" s="176" t="s">
        <v>428</v>
      </c>
      <c r="D9" s="176" t="s">
        <v>357</v>
      </c>
      <c r="E9" s="43" t="s">
        <v>22</v>
      </c>
      <c r="F9" s="114"/>
      <c r="G9" s="112">
        <f>H9/10.764</f>
        <v>20226.217019695283</v>
      </c>
      <c r="H9" s="112">
        <v>217715</v>
      </c>
      <c r="I9" s="113" t="s">
        <v>31</v>
      </c>
      <c r="J9" s="114" t="s">
        <v>24</v>
      </c>
      <c r="K9" s="112" t="s">
        <v>38</v>
      </c>
      <c r="L9" s="114"/>
      <c r="M9" s="114" t="s">
        <v>28</v>
      </c>
      <c r="N9" s="114"/>
      <c r="O9" s="115"/>
      <c r="P9" s="116"/>
    </row>
    <row r="10" spans="1:16" s="23" customFormat="1" ht="13.15">
      <c r="A10" s="170">
        <v>6</v>
      </c>
      <c r="B10" s="170" t="s">
        <v>270</v>
      </c>
      <c r="C10" s="193" t="s">
        <v>429</v>
      </c>
      <c r="D10" s="170" t="s">
        <v>430</v>
      </c>
      <c r="E10" s="172" t="s">
        <v>420</v>
      </c>
      <c r="F10" s="114">
        <v>9</v>
      </c>
      <c r="G10" s="112" t="s">
        <v>93</v>
      </c>
      <c r="H10" s="112" t="s">
        <v>93</v>
      </c>
      <c r="I10" s="113" t="s">
        <v>31</v>
      </c>
      <c r="J10" s="114" t="s">
        <v>24</v>
      </c>
      <c r="K10" s="112" t="s">
        <v>25</v>
      </c>
      <c r="L10" s="114"/>
      <c r="M10" s="114" t="s">
        <v>28</v>
      </c>
      <c r="N10" s="114"/>
      <c r="O10" s="115"/>
      <c r="P10" s="116"/>
    </row>
    <row r="11" spans="1:16" s="23" customFormat="1" ht="13.15">
      <c r="A11" s="176">
        <v>7</v>
      </c>
      <c r="B11" s="176" t="s">
        <v>270</v>
      </c>
      <c r="C11" s="170" t="s">
        <v>431</v>
      </c>
      <c r="D11" s="176" t="s">
        <v>430</v>
      </c>
      <c r="E11" s="43" t="s">
        <v>420</v>
      </c>
      <c r="F11" s="114">
        <v>4.4000000000000004</v>
      </c>
      <c r="G11" s="112" t="s">
        <v>93</v>
      </c>
      <c r="H11" s="112" t="s">
        <v>93</v>
      </c>
      <c r="I11" s="113" t="s">
        <v>31</v>
      </c>
      <c r="J11" s="114" t="s">
        <v>24</v>
      </c>
      <c r="K11" s="112" t="s">
        <v>25</v>
      </c>
      <c r="L11" s="114"/>
      <c r="M11" s="114" t="s">
        <v>28</v>
      </c>
      <c r="N11" s="114"/>
      <c r="O11" s="115"/>
      <c r="P11" s="116"/>
    </row>
    <row r="12" spans="1:16" s="23" customFormat="1" ht="13.15">
      <c r="A12" s="176">
        <v>8</v>
      </c>
      <c r="B12" s="176" t="s">
        <v>270</v>
      </c>
      <c r="C12" s="193" t="s">
        <v>429</v>
      </c>
      <c r="D12" s="176" t="s">
        <v>430</v>
      </c>
      <c r="E12" s="43" t="s">
        <v>420</v>
      </c>
      <c r="F12" s="114">
        <v>2.6</v>
      </c>
      <c r="G12" s="112" t="s">
        <v>93</v>
      </c>
      <c r="H12" s="112" t="s">
        <v>93</v>
      </c>
      <c r="I12" s="113" t="s">
        <v>127</v>
      </c>
      <c r="J12" s="114" t="s">
        <v>24</v>
      </c>
      <c r="K12" s="112" t="s">
        <v>38</v>
      </c>
      <c r="L12" s="114"/>
      <c r="M12" s="114" t="s">
        <v>28</v>
      </c>
      <c r="N12" s="114"/>
      <c r="O12" s="115"/>
      <c r="P12" s="116"/>
    </row>
    <row r="13" spans="1:16" s="23" customFormat="1" ht="13.15">
      <c r="A13" s="176">
        <v>9</v>
      </c>
      <c r="B13" s="176" t="s">
        <v>270</v>
      </c>
      <c r="C13" s="176" t="s">
        <v>432</v>
      </c>
      <c r="D13" s="176" t="s">
        <v>430</v>
      </c>
      <c r="E13" s="43" t="s">
        <v>420</v>
      </c>
      <c r="F13" s="114">
        <v>13.5</v>
      </c>
      <c r="G13" s="112" t="s">
        <v>93</v>
      </c>
      <c r="H13" s="112" t="s">
        <v>93</v>
      </c>
      <c r="I13" s="113" t="s">
        <v>127</v>
      </c>
      <c r="J13" s="114" t="s">
        <v>24</v>
      </c>
      <c r="K13" s="112" t="s">
        <v>25</v>
      </c>
      <c r="L13" s="114"/>
      <c r="M13" s="114" t="s">
        <v>28</v>
      </c>
      <c r="N13" s="114"/>
      <c r="O13" s="115"/>
      <c r="P13" s="116"/>
    </row>
    <row r="14" spans="1:16" s="23" customFormat="1" ht="13.15">
      <c r="A14" s="176">
        <v>8</v>
      </c>
      <c r="B14" s="176" t="s">
        <v>162</v>
      </c>
      <c r="C14" s="170" t="s">
        <v>433</v>
      </c>
      <c r="D14" s="176" t="s">
        <v>434</v>
      </c>
      <c r="E14" s="43" t="s">
        <v>420</v>
      </c>
      <c r="F14" s="114">
        <v>7.5</v>
      </c>
      <c r="G14" s="112" t="s">
        <v>93</v>
      </c>
      <c r="H14" s="112" t="s">
        <v>93</v>
      </c>
      <c r="I14" s="113" t="s">
        <v>127</v>
      </c>
      <c r="J14" s="114" t="s">
        <v>72</v>
      </c>
      <c r="K14" s="112" t="s">
        <v>25</v>
      </c>
      <c r="L14" s="114"/>
      <c r="M14" s="114" t="s">
        <v>28</v>
      </c>
      <c r="N14" s="114"/>
      <c r="O14" s="115"/>
      <c r="P14" s="116"/>
    </row>
    <row r="15" spans="1:16" s="125" customFormat="1" ht="17.25">
      <c r="A15" s="117"/>
      <c r="B15" s="118"/>
      <c r="C15" s="118"/>
      <c r="D15" s="119"/>
      <c r="E15" s="119" t="s">
        <v>275</v>
      </c>
      <c r="F15" s="120">
        <f>SUM(F5:F14)</f>
        <v>50.800000000000004</v>
      </c>
      <c r="G15" s="120"/>
      <c r="H15" s="120">
        <f>SUM(H5:H9)</f>
        <v>217715</v>
      </c>
      <c r="I15" s="121"/>
      <c r="J15" s="119"/>
      <c r="K15" s="122"/>
      <c r="L15" s="123"/>
      <c r="M15" s="123"/>
      <c r="N15" s="123"/>
      <c r="O15" s="124"/>
      <c r="P15" s="124"/>
    </row>
    <row r="17" spans="1:5">
      <c r="A17" s="162"/>
    </row>
    <row r="18" spans="1:5">
      <c r="E18" s="84"/>
    </row>
  </sheetData>
  <mergeCells count="3">
    <mergeCell ref="B1:N1"/>
    <mergeCell ref="B2:N2"/>
    <mergeCell ref="B4:K4"/>
  </mergeCells>
  <pageMargins left="0.70866141732283472" right="0.70866141732283472" top="0.74803149606299213" bottom="0.74803149606299213" header="0.31496062992125984" footer="0.31496062992125984"/>
  <pageSetup paperSize="17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B2658-FC51-4D63-8DCC-86999BA32FAE}">
  <sheetPr codeName="Hoja5"/>
  <dimension ref="A1:Q31"/>
  <sheetViews>
    <sheetView topLeftCell="A3" workbookViewId="0">
      <selection activeCell="D6" sqref="D6"/>
    </sheetView>
  </sheetViews>
  <sheetFormatPr defaultColWidth="11.42578125" defaultRowHeight="14.25"/>
  <cols>
    <col min="1" max="1" width="3" customWidth="1"/>
    <col min="2" max="2" width="17.7109375" customWidth="1"/>
    <col min="3" max="3" width="20.85546875" customWidth="1"/>
    <col min="4" max="4" width="29.7109375" customWidth="1"/>
    <col min="5" max="5" width="21.42578125" customWidth="1"/>
    <col min="6" max="6" width="15.5703125" customWidth="1"/>
    <col min="7" max="7" width="19.28515625" customWidth="1"/>
    <col min="8" max="8" width="23.85546875" customWidth="1"/>
    <col min="9" max="9" width="12.42578125" customWidth="1"/>
    <col min="10" max="10" width="26.140625" customWidth="1"/>
  </cols>
  <sheetData>
    <row r="1" spans="1:17" s="54" customFormat="1" ht="21.75">
      <c r="A1" s="237" t="s">
        <v>0</v>
      </c>
      <c r="B1" s="237"/>
      <c r="C1" s="237"/>
      <c r="D1" s="237"/>
      <c r="E1" s="237"/>
      <c r="F1" s="237"/>
      <c r="G1" s="237"/>
      <c r="H1" s="237"/>
      <c r="I1" s="237"/>
      <c r="J1" s="237"/>
      <c r="K1" s="127"/>
      <c r="L1" s="127"/>
      <c r="M1" s="127"/>
      <c r="N1" s="127"/>
      <c r="O1" s="127"/>
      <c r="P1" s="85"/>
      <c r="Q1" s="85"/>
    </row>
    <row r="2" spans="1:17" s="54" customFormat="1" ht="15.75" customHeight="1">
      <c r="A2" s="238" t="s">
        <v>435</v>
      </c>
      <c r="B2" s="238"/>
      <c r="C2" s="238"/>
      <c r="D2" s="238"/>
      <c r="E2" s="238"/>
      <c r="F2" s="238"/>
      <c r="G2" s="238"/>
      <c r="H2" s="238"/>
      <c r="I2" s="238"/>
      <c r="J2" s="238"/>
      <c r="K2" s="128"/>
      <c r="L2" s="128"/>
      <c r="M2" s="128"/>
      <c r="N2" s="128"/>
      <c r="O2" s="128"/>
      <c r="P2" s="85"/>
      <c r="Q2" s="85"/>
    </row>
    <row r="3" spans="1:17" s="54" customFormat="1">
      <c r="A3" s="85"/>
      <c r="B3" s="85"/>
      <c r="C3" s="85"/>
      <c r="D3" s="85"/>
      <c r="E3" s="85"/>
      <c r="F3" s="85"/>
      <c r="G3" s="85"/>
      <c r="H3" s="85"/>
      <c r="I3" s="85"/>
      <c r="J3" s="85"/>
      <c r="K3" s="129"/>
      <c r="L3" s="85"/>
      <c r="M3" s="85"/>
      <c r="N3" s="85"/>
      <c r="O3" s="85"/>
      <c r="P3" s="85"/>
      <c r="Q3" s="85"/>
    </row>
    <row r="4" spans="1:17" s="3" customFormat="1" ht="27" customHeight="1">
      <c r="A4" s="110"/>
      <c r="B4" s="83" t="s">
        <v>2</v>
      </c>
      <c r="C4" s="61" t="s">
        <v>414</v>
      </c>
      <c r="D4" s="61" t="s">
        <v>4</v>
      </c>
      <c r="E4" s="130" t="s">
        <v>436</v>
      </c>
      <c r="F4" s="61" t="s">
        <v>437</v>
      </c>
      <c r="G4" s="61" t="s">
        <v>438</v>
      </c>
      <c r="H4" s="61" t="s">
        <v>439</v>
      </c>
      <c r="I4" s="62" t="s">
        <v>419</v>
      </c>
      <c r="J4" s="62" t="s">
        <v>13</v>
      </c>
    </row>
    <row r="5" spans="1:17" s="41" customFormat="1" ht="14.25" customHeight="1">
      <c r="A5" s="153"/>
      <c r="B5" s="240"/>
      <c r="C5" s="240"/>
      <c r="D5" s="240"/>
      <c r="E5" s="240"/>
      <c r="F5" s="240"/>
      <c r="G5" s="240"/>
      <c r="H5" s="240"/>
      <c r="I5" s="240"/>
      <c r="J5" s="131"/>
      <c r="K5" s="85"/>
      <c r="L5" s="85"/>
    </row>
    <row r="6" spans="1:17" s="23" customFormat="1" ht="24" customHeight="1">
      <c r="A6" s="176">
        <v>1</v>
      </c>
      <c r="B6" s="170" t="s">
        <v>270</v>
      </c>
      <c r="C6" s="172" t="s">
        <v>273</v>
      </c>
      <c r="D6" s="172" t="s">
        <v>440</v>
      </c>
      <c r="E6" s="171">
        <v>1433</v>
      </c>
      <c r="F6" s="171">
        <v>77.89</v>
      </c>
      <c r="G6" s="171">
        <v>1355</v>
      </c>
      <c r="H6" s="171">
        <v>78</v>
      </c>
      <c r="I6" s="132">
        <v>60</v>
      </c>
      <c r="J6" s="133" t="s">
        <v>441</v>
      </c>
      <c r="K6" s="115"/>
      <c r="L6" s="116"/>
    </row>
    <row r="7" spans="1:17" s="23" customFormat="1" ht="24" customHeight="1">
      <c r="A7" s="176">
        <v>2</v>
      </c>
      <c r="B7" s="170" t="s">
        <v>346</v>
      </c>
      <c r="C7" s="172" t="s">
        <v>353</v>
      </c>
      <c r="D7" s="172" t="s">
        <v>442</v>
      </c>
      <c r="E7" s="171">
        <v>19</v>
      </c>
      <c r="F7" s="171"/>
      <c r="G7" s="171">
        <v>19</v>
      </c>
      <c r="H7" s="171">
        <v>19</v>
      </c>
      <c r="I7" s="132"/>
      <c r="J7" s="133"/>
      <c r="K7" s="115"/>
      <c r="L7" s="116"/>
    </row>
    <row r="8" spans="1:17" s="23" customFormat="1" ht="13.15">
      <c r="A8" s="176">
        <v>3</v>
      </c>
      <c r="B8" s="170" t="s">
        <v>346</v>
      </c>
      <c r="C8" s="172" t="s">
        <v>62</v>
      </c>
      <c r="D8" s="172" t="s">
        <v>168</v>
      </c>
      <c r="E8" s="126">
        <v>140</v>
      </c>
      <c r="F8" s="171">
        <v>140</v>
      </c>
      <c r="G8" s="171">
        <v>0</v>
      </c>
      <c r="H8" s="171">
        <v>80</v>
      </c>
      <c r="I8" s="132">
        <v>60</v>
      </c>
      <c r="J8" s="172"/>
      <c r="K8" s="115"/>
      <c r="L8" s="116"/>
    </row>
    <row r="9" spans="1:17" s="23" customFormat="1" ht="13.15">
      <c r="A9" s="176">
        <v>4</v>
      </c>
      <c r="B9" s="170" t="s">
        <v>346</v>
      </c>
      <c r="C9" s="172" t="s">
        <v>107</v>
      </c>
      <c r="D9" s="172" t="s">
        <v>443</v>
      </c>
      <c r="E9" s="171"/>
      <c r="F9" s="172"/>
      <c r="G9" s="171"/>
      <c r="H9" s="171"/>
      <c r="I9" s="132"/>
      <c r="J9" s="172"/>
      <c r="K9" s="115"/>
      <c r="L9" s="116"/>
    </row>
    <row r="10" spans="1:17" s="23" customFormat="1" ht="13.15">
      <c r="A10" s="176">
        <v>5</v>
      </c>
      <c r="B10" s="170" t="s">
        <v>346</v>
      </c>
      <c r="C10" s="172" t="s">
        <v>107</v>
      </c>
      <c r="D10" s="172" t="s">
        <v>183</v>
      </c>
      <c r="E10" s="171"/>
      <c r="F10" s="172"/>
      <c r="G10" s="171"/>
      <c r="H10" s="171"/>
      <c r="I10" s="132"/>
      <c r="J10" s="172"/>
      <c r="K10" s="115"/>
      <c r="L10" s="116"/>
    </row>
    <row r="11" spans="1:17" s="23" customFormat="1" ht="13.15">
      <c r="A11" s="176">
        <v>6</v>
      </c>
      <c r="B11" s="170" t="s">
        <v>346</v>
      </c>
      <c r="C11" s="172" t="s">
        <v>444</v>
      </c>
      <c r="D11" s="172" t="s">
        <v>445</v>
      </c>
      <c r="E11" s="171"/>
      <c r="F11" s="172"/>
      <c r="G11" s="171"/>
      <c r="H11" s="171"/>
      <c r="I11" s="132"/>
      <c r="J11" s="172"/>
      <c r="K11" s="115"/>
      <c r="L11" s="116"/>
    </row>
    <row r="12" spans="1:17" s="23" customFormat="1" ht="13.15">
      <c r="A12" s="176">
        <v>7</v>
      </c>
      <c r="B12" s="170" t="s">
        <v>18</v>
      </c>
      <c r="C12" s="172" t="s">
        <v>446</v>
      </c>
      <c r="D12" s="172" t="s">
        <v>447</v>
      </c>
      <c r="E12" s="171" t="s">
        <v>448</v>
      </c>
      <c r="F12" s="172"/>
      <c r="G12" s="171"/>
      <c r="H12" s="171" t="s">
        <v>448</v>
      </c>
      <c r="I12" s="132">
        <v>110</v>
      </c>
      <c r="J12" s="156"/>
    </row>
    <row r="13" spans="1:17" s="23" customFormat="1" ht="13.15">
      <c r="A13" s="176">
        <v>8</v>
      </c>
      <c r="B13" s="170" t="s">
        <v>18</v>
      </c>
      <c r="C13" s="172" t="s">
        <v>391</v>
      </c>
      <c r="D13" s="172" t="s">
        <v>81</v>
      </c>
      <c r="E13" s="171">
        <v>27</v>
      </c>
      <c r="F13" s="172">
        <v>2.2999999999999998</v>
      </c>
      <c r="G13" s="171">
        <v>24</v>
      </c>
      <c r="H13" s="171"/>
      <c r="I13" s="132"/>
      <c r="J13" s="156"/>
    </row>
    <row r="14" spans="1:17" s="23" customFormat="1" ht="13.15">
      <c r="A14" s="176">
        <v>9</v>
      </c>
      <c r="B14" s="170" t="s">
        <v>18</v>
      </c>
      <c r="C14" s="172" t="s">
        <v>257</v>
      </c>
      <c r="D14" s="172" t="s">
        <v>449</v>
      </c>
      <c r="E14" s="112">
        <v>70</v>
      </c>
      <c r="F14" s="114">
        <v>70</v>
      </c>
      <c r="G14" s="112">
        <v>0</v>
      </c>
      <c r="H14" s="112">
        <v>0</v>
      </c>
      <c r="I14" s="134"/>
      <c r="J14" s="156"/>
    </row>
    <row r="15" spans="1:17" s="23" customFormat="1" ht="13.15">
      <c r="A15" s="176">
        <v>10</v>
      </c>
      <c r="B15" s="170" t="s">
        <v>18</v>
      </c>
      <c r="C15" s="172" t="s">
        <v>394</v>
      </c>
      <c r="D15" s="172" t="s">
        <v>450</v>
      </c>
      <c r="E15" s="112">
        <v>43</v>
      </c>
      <c r="F15" s="114">
        <v>2.6</v>
      </c>
      <c r="G15" s="112">
        <v>40</v>
      </c>
      <c r="H15" s="112">
        <v>40</v>
      </c>
      <c r="I15" s="134"/>
      <c r="J15" s="156"/>
    </row>
    <row r="16" spans="1:17" s="23" customFormat="1" ht="13.15">
      <c r="A16" s="176">
        <v>11</v>
      </c>
      <c r="B16" s="170" t="s">
        <v>451</v>
      </c>
      <c r="C16" s="172" t="s">
        <v>257</v>
      </c>
      <c r="D16" s="172" t="s">
        <v>357</v>
      </c>
      <c r="E16" s="112">
        <v>242</v>
      </c>
      <c r="F16" s="114">
        <v>200</v>
      </c>
      <c r="G16" s="112">
        <v>32</v>
      </c>
      <c r="H16" s="112">
        <v>32</v>
      </c>
      <c r="I16" s="134"/>
      <c r="J16" s="156"/>
    </row>
    <row r="17" spans="1:12" s="23" customFormat="1" ht="13.15">
      <c r="A17" s="176">
        <v>12</v>
      </c>
      <c r="B17" s="170" t="s">
        <v>452</v>
      </c>
      <c r="C17" s="172" t="s">
        <v>257</v>
      </c>
      <c r="D17" s="172" t="s">
        <v>375</v>
      </c>
      <c r="E17" s="112">
        <v>150</v>
      </c>
      <c r="F17" s="114">
        <v>89</v>
      </c>
      <c r="G17" s="112">
        <v>67</v>
      </c>
      <c r="H17" s="112">
        <v>67</v>
      </c>
      <c r="I17" s="134"/>
      <c r="J17" s="156"/>
    </row>
    <row r="18" spans="1:12" s="23" customFormat="1" ht="13.15">
      <c r="A18" s="176">
        <v>13</v>
      </c>
      <c r="B18" s="170" t="s">
        <v>452</v>
      </c>
      <c r="C18" s="172" t="s">
        <v>453</v>
      </c>
      <c r="D18" s="172" t="s">
        <v>453</v>
      </c>
      <c r="E18" s="171">
        <v>2.7</v>
      </c>
      <c r="F18" s="172"/>
      <c r="G18" s="171">
        <v>1</v>
      </c>
      <c r="H18" s="171">
        <v>1.7</v>
      </c>
      <c r="I18" s="132"/>
      <c r="J18" s="156"/>
    </row>
    <row r="19" spans="1:12" s="23" customFormat="1" ht="13.15">
      <c r="A19" s="176">
        <v>14</v>
      </c>
      <c r="B19" s="170" t="s">
        <v>452</v>
      </c>
      <c r="C19" s="172" t="s">
        <v>318</v>
      </c>
      <c r="D19" s="172" t="s">
        <v>454</v>
      </c>
      <c r="E19" s="171">
        <v>40</v>
      </c>
      <c r="F19" s="172"/>
      <c r="G19" s="171">
        <v>40</v>
      </c>
      <c r="H19" s="171">
        <v>40</v>
      </c>
      <c r="I19" s="132"/>
      <c r="J19" s="156"/>
    </row>
    <row r="20" spans="1:12" s="23" customFormat="1" ht="13.15">
      <c r="A20" s="176">
        <v>15</v>
      </c>
      <c r="B20" s="170" t="s">
        <v>208</v>
      </c>
      <c r="C20" s="172" t="s">
        <v>221</v>
      </c>
      <c r="D20" s="172" t="s">
        <v>220</v>
      </c>
      <c r="E20" s="171">
        <v>21</v>
      </c>
      <c r="F20" s="172"/>
      <c r="G20" s="171">
        <v>21</v>
      </c>
      <c r="H20" s="171">
        <v>21</v>
      </c>
      <c r="I20" s="132">
        <v>110</v>
      </c>
      <c r="J20" s="156" t="s">
        <v>455</v>
      </c>
    </row>
    <row r="21" spans="1:12" s="23" customFormat="1" ht="13.15">
      <c r="A21" s="176">
        <v>16</v>
      </c>
      <c r="B21" s="170" t="s">
        <v>456</v>
      </c>
      <c r="C21" s="172" t="s">
        <v>146</v>
      </c>
      <c r="D21" s="172" t="s">
        <v>457</v>
      </c>
      <c r="E21" s="171">
        <v>72</v>
      </c>
      <c r="F21" s="172"/>
      <c r="G21" s="171">
        <v>72</v>
      </c>
      <c r="H21" s="171">
        <v>72</v>
      </c>
      <c r="I21" s="132"/>
      <c r="J21" s="156"/>
    </row>
    <row r="22" spans="1:12" s="23" customFormat="1" ht="13.15">
      <c r="A22" s="176">
        <v>17</v>
      </c>
      <c r="B22" s="170" t="s">
        <v>458</v>
      </c>
      <c r="C22" s="172" t="s">
        <v>459</v>
      </c>
      <c r="D22" s="172" t="s">
        <v>460</v>
      </c>
      <c r="E22" s="171">
        <v>65</v>
      </c>
      <c r="F22" s="172">
        <v>5</v>
      </c>
      <c r="G22" s="171">
        <v>60</v>
      </c>
      <c r="H22" s="171"/>
      <c r="I22" s="132"/>
      <c r="J22" s="156"/>
    </row>
    <row r="23" spans="1:12" s="23" customFormat="1" ht="13.15">
      <c r="A23" s="176">
        <v>18</v>
      </c>
      <c r="B23" s="170" t="s">
        <v>461</v>
      </c>
      <c r="C23" s="172" t="s">
        <v>462</v>
      </c>
      <c r="D23" s="172" t="s">
        <v>463</v>
      </c>
      <c r="E23" s="171">
        <v>100</v>
      </c>
      <c r="F23" s="172">
        <v>0</v>
      </c>
      <c r="G23" s="171">
        <v>100</v>
      </c>
      <c r="H23" s="171">
        <v>100</v>
      </c>
      <c r="I23" s="135"/>
      <c r="J23" s="156"/>
    </row>
    <row r="24" spans="1:12" s="23" customFormat="1" ht="13.15">
      <c r="A24" s="176">
        <v>19</v>
      </c>
      <c r="B24" s="170" t="s">
        <v>461</v>
      </c>
      <c r="C24" s="172" t="s">
        <v>462</v>
      </c>
      <c r="D24" s="172" t="s">
        <v>464</v>
      </c>
      <c r="E24" s="171">
        <v>15</v>
      </c>
      <c r="F24" s="172">
        <v>5</v>
      </c>
      <c r="G24" s="171">
        <v>10</v>
      </c>
      <c r="H24" s="171">
        <v>6</v>
      </c>
      <c r="I24" s="135"/>
      <c r="J24" s="156"/>
    </row>
    <row r="25" spans="1:12" s="23" customFormat="1" ht="13.15">
      <c r="A25" s="176">
        <v>20</v>
      </c>
      <c r="B25" s="170" t="s">
        <v>465</v>
      </c>
      <c r="C25" s="172" t="s">
        <v>462</v>
      </c>
      <c r="D25" s="172" t="s">
        <v>466</v>
      </c>
      <c r="E25" s="171">
        <v>56</v>
      </c>
      <c r="F25" s="172">
        <v>20</v>
      </c>
      <c r="G25" s="171">
        <v>36</v>
      </c>
      <c r="H25" s="171">
        <v>56</v>
      </c>
      <c r="I25" s="135"/>
      <c r="J25" s="156"/>
    </row>
    <row r="26" spans="1:12" s="23" customFormat="1" ht="13.15">
      <c r="A26" s="176">
        <v>21</v>
      </c>
      <c r="B26" s="170" t="s">
        <v>245</v>
      </c>
      <c r="C26" s="172" t="s">
        <v>462</v>
      </c>
      <c r="D26" s="172" t="s">
        <v>467</v>
      </c>
      <c r="E26" s="171">
        <v>40</v>
      </c>
      <c r="F26" s="172">
        <v>50</v>
      </c>
      <c r="G26" s="171">
        <v>40</v>
      </c>
      <c r="H26" s="171">
        <v>15</v>
      </c>
      <c r="I26" s="135"/>
      <c r="J26" s="156"/>
    </row>
    <row r="27" spans="1:12" s="23" customFormat="1" ht="13.15">
      <c r="A27" s="176">
        <v>22</v>
      </c>
      <c r="B27" s="170" t="s">
        <v>245</v>
      </c>
      <c r="C27" s="172" t="s">
        <v>353</v>
      </c>
      <c r="D27" s="172" t="s">
        <v>468</v>
      </c>
      <c r="E27" s="171">
        <v>14.6</v>
      </c>
      <c r="F27" s="172"/>
      <c r="G27" s="171">
        <v>15</v>
      </c>
      <c r="H27" s="171">
        <v>15</v>
      </c>
      <c r="I27" s="132"/>
      <c r="J27" s="156" t="s">
        <v>469</v>
      </c>
    </row>
    <row r="28" spans="1:12" s="125" customFormat="1" ht="17.25">
      <c r="A28" s="136"/>
      <c r="B28" s="137"/>
      <c r="C28" s="137"/>
      <c r="D28" s="138"/>
      <c r="E28" s="139"/>
      <c r="F28" s="138"/>
      <c r="G28" s="139"/>
      <c r="H28" s="139"/>
      <c r="I28" s="139"/>
      <c r="J28" s="140"/>
      <c r="K28" s="124"/>
      <c r="L28" s="124"/>
    </row>
    <row r="30" spans="1:12">
      <c r="C30" s="126"/>
    </row>
    <row r="31" spans="1:12">
      <c r="C31" s="126"/>
    </row>
  </sheetData>
  <mergeCells count="3">
    <mergeCell ref="A1:J1"/>
    <mergeCell ref="A2:J2"/>
    <mergeCell ref="B5:I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B1E5-1042-45A2-B36A-585245E2EFC4}">
  <sheetPr codeName="Hoja6"/>
  <dimension ref="A1:F40"/>
  <sheetViews>
    <sheetView workbookViewId="0">
      <selection activeCell="F12" sqref="F12"/>
    </sheetView>
  </sheetViews>
  <sheetFormatPr defaultColWidth="11.42578125" defaultRowHeight="14.25"/>
  <cols>
    <col min="1" max="1" width="41.28515625" customWidth="1"/>
    <col min="2" max="2" width="13.42578125" customWidth="1"/>
    <col min="3" max="3" width="12.5703125" customWidth="1"/>
  </cols>
  <sheetData>
    <row r="1" spans="1:4" ht="14.65" thickBot="1">
      <c r="A1" s="241" t="s">
        <v>470</v>
      </c>
      <c r="B1" s="241"/>
      <c r="C1" s="241"/>
    </row>
    <row r="2" spans="1:4">
      <c r="A2" s="242" t="s">
        <v>471</v>
      </c>
      <c r="B2" s="244" t="s">
        <v>472</v>
      </c>
      <c r="C2" s="245"/>
    </row>
    <row r="3" spans="1:4">
      <c r="A3" s="243"/>
      <c r="B3" s="195" t="s">
        <v>473</v>
      </c>
      <c r="C3" s="194" t="s">
        <v>474</v>
      </c>
    </row>
    <row r="4" spans="1:4" ht="12.75" customHeight="1">
      <c r="A4" s="141" t="s">
        <v>187</v>
      </c>
      <c r="B4" s="142"/>
      <c r="C4" s="192"/>
    </row>
    <row r="5" spans="1:4">
      <c r="A5" s="143" t="s">
        <v>200</v>
      </c>
      <c r="B5" s="144">
        <v>823693</v>
      </c>
      <c r="C5" s="145">
        <f>B5/B40</f>
        <v>9.5781369822209566E-3</v>
      </c>
    </row>
    <row r="6" spans="1:4">
      <c r="A6" s="143" t="s">
        <v>21</v>
      </c>
      <c r="B6" s="144">
        <v>1611704</v>
      </c>
      <c r="C6" s="145">
        <f>B6/B40</f>
        <v>1.874135349795791E-2</v>
      </c>
    </row>
    <row r="7" spans="1:4">
      <c r="A7" s="143" t="s">
        <v>475</v>
      </c>
      <c r="B7" s="144">
        <v>194000</v>
      </c>
      <c r="C7" s="145">
        <f>B7/B40</f>
        <v>2.2558872960567414E-3</v>
      </c>
    </row>
    <row r="8" spans="1:4">
      <c r="A8" s="143" t="s">
        <v>476</v>
      </c>
      <c r="B8" s="144">
        <v>622751</v>
      </c>
      <c r="C8" s="145">
        <f>B8/B40</f>
        <v>7.2415261314774841E-3</v>
      </c>
    </row>
    <row r="9" spans="1:4">
      <c r="A9" s="143" t="s">
        <v>35</v>
      </c>
      <c r="B9" s="144">
        <v>2090271</v>
      </c>
      <c r="C9" s="145">
        <f>B9/B40</f>
        <v>2.4306266980493926E-2</v>
      </c>
      <c r="D9" s="84"/>
    </row>
    <row r="10" spans="1:4">
      <c r="A10" s="143" t="s">
        <v>477</v>
      </c>
      <c r="B10" s="144">
        <v>250738</v>
      </c>
      <c r="C10" s="145">
        <f>B10/B40</f>
        <v>2.9156529321581201E-3</v>
      </c>
      <c r="D10" s="84"/>
    </row>
    <row r="11" spans="1:4">
      <c r="A11" s="143" t="s">
        <v>50</v>
      </c>
      <c r="B11" s="144">
        <v>3500000</v>
      </c>
      <c r="C11" s="145">
        <f>B11/B40</f>
        <v>4.0698997609271113E-2</v>
      </c>
    </row>
    <row r="12" spans="1:4">
      <c r="A12" s="143" t="s">
        <v>62</v>
      </c>
      <c r="B12" s="196">
        <v>7081014</v>
      </c>
      <c r="C12" s="145">
        <f>B12/B40</f>
        <v>8.2340049102061511E-2</v>
      </c>
    </row>
    <row r="13" spans="1:4">
      <c r="A13" s="143" t="s">
        <v>394</v>
      </c>
      <c r="B13" s="196">
        <v>577912</v>
      </c>
      <c r="C13" s="145">
        <f>B13/B40</f>
        <v>6.7201254589625958E-3</v>
      </c>
    </row>
    <row r="14" spans="1:4">
      <c r="A14" s="143" t="s">
        <v>478</v>
      </c>
      <c r="B14" s="144">
        <v>3539117</v>
      </c>
      <c r="C14" s="145">
        <f>B14/B40</f>
        <v>4.1153861234837358E-2</v>
      </c>
    </row>
    <row r="15" spans="1:4">
      <c r="A15" s="143" t="s">
        <v>479</v>
      </c>
      <c r="B15" s="144">
        <v>186000</v>
      </c>
      <c r="C15" s="145">
        <f>B15/B40</f>
        <v>2.1628610158069789E-3</v>
      </c>
    </row>
    <row r="16" spans="1:4">
      <c r="A16" s="143" t="s">
        <v>480</v>
      </c>
      <c r="B16" s="144">
        <v>5192293</v>
      </c>
      <c r="C16" s="145">
        <f>B16/B40</f>
        <v>6.0377462969610038E-2</v>
      </c>
    </row>
    <row r="17" spans="1:6">
      <c r="A17" s="143" t="s">
        <v>481</v>
      </c>
      <c r="B17" s="144">
        <v>5695060</v>
      </c>
      <c r="C17" s="145">
        <f>B17/B40</f>
        <v>6.6223780949901584E-2</v>
      </c>
    </row>
    <row r="18" spans="1:6">
      <c r="A18" s="143" t="s">
        <v>482</v>
      </c>
      <c r="B18" s="144">
        <v>6221263</v>
      </c>
      <c r="C18" s="145">
        <f>B18/B40</f>
        <v>7.2342619418184803E-2</v>
      </c>
    </row>
    <row r="19" spans="1:6">
      <c r="A19" s="143" t="s">
        <v>483</v>
      </c>
      <c r="B19" s="144">
        <v>336289</v>
      </c>
      <c r="C19" s="145">
        <f>B19/B40</f>
        <v>3.9104643448640494E-3</v>
      </c>
    </row>
    <row r="20" spans="1:6">
      <c r="A20" s="143" t="s">
        <v>484</v>
      </c>
      <c r="B20" s="144">
        <v>1850355</v>
      </c>
      <c r="C20" s="145">
        <f>B20/B40</f>
        <v>2.1516455348943669E-2</v>
      </c>
    </row>
    <row r="21" spans="1:6">
      <c r="A21" s="143" t="s">
        <v>485</v>
      </c>
      <c r="B21" s="144">
        <v>393252</v>
      </c>
      <c r="C21" s="145">
        <f>B21/B40</f>
        <v>4.5728463450974526E-3</v>
      </c>
    </row>
    <row r="22" spans="1:6">
      <c r="A22" s="199" t="s">
        <v>302</v>
      </c>
      <c r="B22" s="84">
        <v>255062</v>
      </c>
      <c r="C22" s="145">
        <f>B22/B40</f>
        <v>2.9659336366331165E-3</v>
      </c>
      <c r="E22" s="84"/>
    </row>
    <row r="23" spans="1:6">
      <c r="A23" s="143" t="s">
        <v>486</v>
      </c>
      <c r="B23" s="144">
        <v>577044</v>
      </c>
      <c r="C23" s="145">
        <f>B23/B40</f>
        <v>6.7100321075554969E-3</v>
      </c>
    </row>
    <row r="24" spans="1:6">
      <c r="A24" s="143" t="s">
        <v>350</v>
      </c>
      <c r="B24" s="144">
        <v>185000</v>
      </c>
      <c r="C24" s="145">
        <f>B24/B40</f>
        <v>2.1512327307757588E-3</v>
      </c>
    </row>
    <row r="25" spans="1:6">
      <c r="A25" s="143" t="s">
        <v>273</v>
      </c>
      <c r="B25" s="144">
        <v>4453605</v>
      </c>
      <c r="C25" s="145">
        <f>B25/B40</f>
        <v>5.1787788356467961E-2</v>
      </c>
    </row>
    <row r="26" spans="1:6">
      <c r="A26" s="143" t="s">
        <v>487</v>
      </c>
      <c r="B26" s="144">
        <v>11946476</v>
      </c>
      <c r="C26" s="145">
        <f>B26/B40</f>
        <v>0.13891702804663278</v>
      </c>
    </row>
    <row r="27" spans="1:6">
      <c r="A27" s="143" t="s">
        <v>380</v>
      </c>
      <c r="B27" s="144">
        <v>160000</v>
      </c>
      <c r="C27" s="145">
        <f>B27/B40</f>
        <v>1.8605256049952508E-3</v>
      </c>
    </row>
    <row r="28" spans="1:6">
      <c r="A28" s="143" t="s">
        <v>318</v>
      </c>
      <c r="B28" s="144">
        <v>936310</v>
      </c>
      <c r="C28" s="145">
        <f>B28/B40</f>
        <v>1.0887679557581895E-2</v>
      </c>
    </row>
    <row r="29" spans="1:6">
      <c r="A29" s="143" t="s">
        <v>107</v>
      </c>
      <c r="B29" s="144">
        <v>238767</v>
      </c>
      <c r="C29" s="145">
        <f>B29/B40</f>
        <v>2.7764507320493814E-3</v>
      </c>
    </row>
    <row r="30" spans="1:6">
      <c r="A30" s="143" t="s">
        <v>488</v>
      </c>
      <c r="B30" s="144">
        <v>890231</v>
      </c>
      <c r="C30" s="145">
        <f>B30/B40</f>
        <v>1.0351859811628294E-2</v>
      </c>
    </row>
    <row r="31" spans="1:6">
      <c r="A31" s="143" t="s">
        <v>489</v>
      </c>
      <c r="B31" s="144">
        <v>416640</v>
      </c>
      <c r="C31" s="145">
        <f>B31/B40</f>
        <v>4.8448086754076334E-3</v>
      </c>
      <c r="F31" s="146"/>
    </row>
    <row r="32" spans="1:6">
      <c r="A32" s="143" t="s">
        <v>111</v>
      </c>
      <c r="B32" s="144">
        <v>5730906</v>
      </c>
      <c r="C32" s="145">
        <f>B32/B40</f>
        <v>6.6640608455130701E-2</v>
      </c>
      <c r="F32" s="146"/>
    </row>
    <row r="33" spans="1:6">
      <c r="A33" s="143" t="s">
        <v>490</v>
      </c>
      <c r="B33" s="144">
        <v>697391</v>
      </c>
      <c r="C33" s="145">
        <f>B33/B40</f>
        <v>8.1094613262077675E-3</v>
      </c>
      <c r="F33" s="146"/>
    </row>
    <row r="34" spans="1:6">
      <c r="A34" s="143" t="s">
        <v>190</v>
      </c>
      <c r="B34" s="144">
        <v>1500000</v>
      </c>
      <c r="C34" s="145">
        <f>B34/B40</f>
        <v>1.7442427546830477E-2</v>
      </c>
      <c r="F34" s="146"/>
    </row>
    <row r="35" spans="1:6">
      <c r="A35" s="143" t="s">
        <v>139</v>
      </c>
      <c r="B35" s="144">
        <v>1669049</v>
      </c>
      <c r="C35" s="145">
        <f>B35/B40</f>
        <v>1.9408177503073238E-2</v>
      </c>
      <c r="F35" s="146"/>
    </row>
    <row r="36" spans="1:6">
      <c r="A36" s="143" t="s">
        <v>146</v>
      </c>
      <c r="B36" s="144">
        <v>6013859</v>
      </c>
      <c r="C36" s="145">
        <f>B36/B40</f>
        <v>6.9930866589569582E-2</v>
      </c>
      <c r="F36" s="146"/>
    </row>
    <row r="37" spans="1:6">
      <c r="A37" s="143" t="s">
        <v>491</v>
      </c>
      <c r="B37" s="144">
        <v>1422697</v>
      </c>
      <c r="C37" s="145">
        <f>B37/B40</f>
        <v>1.6543526229062053E-2</v>
      </c>
      <c r="F37" s="146"/>
    </row>
    <row r="38" spans="1:6">
      <c r="A38" s="143" t="s">
        <v>353</v>
      </c>
      <c r="B38" s="144">
        <v>738455</v>
      </c>
      <c r="C38" s="145">
        <f>B38/B40</f>
        <v>8.5869652227298001E-3</v>
      </c>
      <c r="F38" s="146"/>
    </row>
    <row r="39" spans="1:6">
      <c r="A39" s="143" t="s">
        <v>155</v>
      </c>
      <c r="B39" s="144">
        <v>8000000</v>
      </c>
      <c r="C39" s="145">
        <f>B39/B40</f>
        <v>9.3026280249762533E-2</v>
      </c>
      <c r="F39" s="146"/>
    </row>
    <row r="40" spans="1:6">
      <c r="A40" s="147" t="s">
        <v>492</v>
      </c>
      <c r="B40" s="197">
        <f>SUM(B5:B39)</f>
        <v>85997204</v>
      </c>
      <c r="C40" s="198">
        <f>SUM(C5:C39)</f>
        <v>1</v>
      </c>
    </row>
  </sheetData>
  <sortState xmlns:xlrd2="http://schemas.microsoft.com/office/spreadsheetml/2017/richdata2" ref="A5:A39">
    <sortCondition ref="A5:A39"/>
  </sortState>
  <mergeCells count="3">
    <mergeCell ref="A1:C1"/>
    <mergeCell ref="A2:A3"/>
    <mergeCell ref="B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8571-3092-41CD-BA10-8D5C330CA778}">
  <sheetPr codeName="Hoja7"/>
  <dimension ref="A1:K12"/>
  <sheetViews>
    <sheetView zoomScale="110" zoomScaleNormal="110" workbookViewId="0">
      <selection activeCell="A7" sqref="A7"/>
    </sheetView>
  </sheetViews>
  <sheetFormatPr defaultColWidth="11.42578125" defaultRowHeight="14.25"/>
  <cols>
    <col min="1" max="1" width="3" customWidth="1"/>
    <col min="2" max="2" width="17.7109375" customWidth="1"/>
    <col min="3" max="3" width="15" customWidth="1"/>
    <col min="4" max="4" width="40.7109375" customWidth="1"/>
    <col min="5" max="5" width="21" customWidth="1"/>
    <col min="6" max="6" width="14" customWidth="1"/>
    <col min="7" max="7" width="13.28515625" customWidth="1"/>
    <col min="8" max="8" width="13.7109375" customWidth="1"/>
    <col min="9" max="9" width="9.5703125" customWidth="1"/>
  </cols>
  <sheetData>
    <row r="1" spans="1:11" s="54" customFormat="1" ht="21.75">
      <c r="A1" s="85"/>
      <c r="B1" s="237" t="s">
        <v>0</v>
      </c>
      <c r="C1" s="237"/>
      <c r="D1" s="237"/>
      <c r="E1" s="237"/>
      <c r="F1" s="237"/>
      <c r="G1" s="237"/>
      <c r="H1" s="237"/>
      <c r="I1" s="237"/>
      <c r="J1" s="85"/>
      <c r="K1" s="85"/>
    </row>
    <row r="2" spans="1:11" s="54" customFormat="1" ht="15.75" customHeight="1">
      <c r="A2" s="85"/>
      <c r="B2" s="215" t="s">
        <v>493</v>
      </c>
      <c r="C2" s="215"/>
      <c r="D2" s="215"/>
      <c r="E2" s="215"/>
      <c r="F2" s="215"/>
      <c r="G2" s="215"/>
      <c r="H2" s="215"/>
      <c r="I2" s="215"/>
      <c r="J2" s="85"/>
      <c r="K2" s="85"/>
    </row>
    <row r="3" spans="1:11" s="3" customFormat="1" ht="13.15">
      <c r="A3" s="110"/>
      <c r="B3" s="148" t="s">
        <v>2</v>
      </c>
      <c r="C3" s="59" t="s">
        <v>414</v>
      </c>
      <c r="D3" s="59" t="s">
        <v>4</v>
      </c>
      <c r="E3" s="59" t="s">
        <v>494</v>
      </c>
      <c r="F3" s="59" t="s">
        <v>495</v>
      </c>
      <c r="G3" s="59" t="s">
        <v>417</v>
      </c>
      <c r="H3" s="59" t="s">
        <v>418</v>
      </c>
      <c r="I3" s="59" t="s">
        <v>9</v>
      </c>
    </row>
    <row r="4" spans="1:11" s="41" customFormat="1" ht="13.15">
      <c r="A4" s="184"/>
      <c r="B4" s="246"/>
      <c r="C4" s="246"/>
      <c r="D4" s="246"/>
      <c r="E4" s="246"/>
      <c r="F4" s="246"/>
      <c r="G4" s="246"/>
      <c r="H4" s="246"/>
      <c r="I4" s="246"/>
      <c r="J4" s="85"/>
      <c r="K4" s="85"/>
    </row>
    <row r="5" spans="1:11" s="23" customFormat="1" ht="13.15">
      <c r="A5" s="176">
        <v>1</v>
      </c>
      <c r="B5" s="170" t="s">
        <v>249</v>
      </c>
      <c r="C5" s="173" t="s">
        <v>155</v>
      </c>
      <c r="D5" s="178" t="s">
        <v>496</v>
      </c>
      <c r="E5" s="169"/>
      <c r="F5" s="167" t="s">
        <v>328</v>
      </c>
      <c r="G5" s="169">
        <f>H5/10.764</f>
        <v>16094.388703084356</v>
      </c>
      <c r="H5" s="169">
        <v>173240</v>
      </c>
      <c r="I5" s="149" t="s">
        <v>497</v>
      </c>
      <c r="J5" s="115"/>
      <c r="K5" s="116"/>
    </row>
    <row r="6" spans="1:11" s="23" customFormat="1" ht="13.15">
      <c r="A6" s="176">
        <v>2</v>
      </c>
      <c r="B6" s="170" t="s">
        <v>249</v>
      </c>
      <c r="C6" s="173" t="s">
        <v>155</v>
      </c>
      <c r="D6" s="178" t="s">
        <v>496</v>
      </c>
      <c r="E6" s="169"/>
      <c r="F6" s="167" t="s">
        <v>498</v>
      </c>
      <c r="G6" s="169">
        <f>H6/10.764</f>
        <v>4935.0613154960984</v>
      </c>
      <c r="H6" s="169">
        <v>53121</v>
      </c>
      <c r="I6" s="149" t="s">
        <v>497</v>
      </c>
      <c r="J6" s="115"/>
      <c r="K6" s="116"/>
    </row>
    <row r="7" spans="1:11" s="23" customFormat="1" ht="13.15">
      <c r="A7" s="176">
        <v>3</v>
      </c>
      <c r="B7" s="168" t="s">
        <v>18</v>
      </c>
      <c r="C7" s="104" t="s">
        <v>314</v>
      </c>
      <c r="D7" s="178" t="s">
        <v>499</v>
      </c>
      <c r="E7" s="168"/>
      <c r="F7" s="167" t="s">
        <v>500</v>
      </c>
      <c r="G7" s="169">
        <v>14901</v>
      </c>
      <c r="H7" s="169">
        <f t="shared" ref="H7:H10" si="0">G7*10.764</f>
        <v>160394.364</v>
      </c>
      <c r="I7" s="149">
        <v>2022</v>
      </c>
      <c r="J7" s="115"/>
      <c r="K7" s="116"/>
    </row>
    <row r="8" spans="1:11" s="23" customFormat="1" ht="13.15">
      <c r="A8" s="176">
        <v>4</v>
      </c>
      <c r="B8" s="170" t="s">
        <v>18</v>
      </c>
      <c r="C8" s="173" t="s">
        <v>314</v>
      </c>
      <c r="D8" s="173" t="s">
        <v>499</v>
      </c>
      <c r="E8" s="171"/>
      <c r="F8" s="172" t="s">
        <v>501</v>
      </c>
      <c r="G8" s="171">
        <v>14901</v>
      </c>
      <c r="H8" s="171">
        <f t="shared" si="0"/>
        <v>160394.364</v>
      </c>
      <c r="I8" s="149">
        <v>2022</v>
      </c>
    </row>
    <row r="9" spans="1:11" s="23" customFormat="1" ht="13.15">
      <c r="A9" s="176">
        <v>5</v>
      </c>
      <c r="B9" s="170" t="s">
        <v>18</v>
      </c>
      <c r="C9" s="173" t="s">
        <v>314</v>
      </c>
      <c r="D9" s="173" t="s">
        <v>499</v>
      </c>
      <c r="E9" s="171"/>
      <c r="F9" s="172" t="s">
        <v>502</v>
      </c>
      <c r="G9" s="171">
        <v>3295</v>
      </c>
      <c r="H9" s="171">
        <f t="shared" si="0"/>
        <v>35467.379999999997</v>
      </c>
      <c r="I9" s="149">
        <v>2022</v>
      </c>
    </row>
    <row r="10" spans="1:11" s="23" customFormat="1" ht="13.15">
      <c r="A10" s="176">
        <v>6</v>
      </c>
      <c r="B10" s="170" t="s">
        <v>18</v>
      </c>
      <c r="C10" s="173" t="s">
        <v>314</v>
      </c>
      <c r="D10" s="173" t="s">
        <v>499</v>
      </c>
      <c r="E10" s="171"/>
      <c r="F10" s="172" t="s">
        <v>503</v>
      </c>
      <c r="G10" s="171">
        <v>10443</v>
      </c>
      <c r="H10" s="171">
        <f t="shared" si="0"/>
        <v>112408.45199999999</v>
      </c>
      <c r="I10" s="149">
        <v>2022</v>
      </c>
    </row>
    <row r="11" spans="1:11" s="23" customFormat="1" ht="13.15">
      <c r="A11" s="176">
        <v>7</v>
      </c>
      <c r="B11" s="170" t="s">
        <v>245</v>
      </c>
      <c r="C11" s="173" t="s">
        <v>453</v>
      </c>
      <c r="D11" s="173" t="s">
        <v>504</v>
      </c>
      <c r="E11" s="171" t="s">
        <v>505</v>
      </c>
      <c r="F11" s="172"/>
      <c r="G11" s="171"/>
      <c r="H11" s="171"/>
      <c r="I11" s="91">
        <v>2021</v>
      </c>
    </row>
    <row r="12" spans="1:11" s="125" customFormat="1" ht="17.25">
      <c r="A12" s="150"/>
      <c r="B12" s="137"/>
      <c r="C12" s="137"/>
      <c r="D12" s="138"/>
      <c r="E12" s="139"/>
      <c r="F12" s="138" t="s">
        <v>275</v>
      </c>
      <c r="G12" s="139">
        <f>SUM(G5:G11)</f>
        <v>64569.45001858045</v>
      </c>
      <c r="H12" s="139">
        <f>SUM(H5:H11)</f>
        <v>695025.56</v>
      </c>
      <c r="I12" s="151"/>
      <c r="J12" s="124"/>
      <c r="K12" s="124"/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6D6A72E992D114C81A6EC0B8C99BA69" ma:contentTypeVersion="15" ma:contentTypeDescription="Crear nuevo documento." ma:contentTypeScope="" ma:versionID="09ee94784c981be3323ac3fbeddfff7d">
  <xsd:schema xmlns:xsd="http://www.w3.org/2001/XMLSchema" xmlns:xs="http://www.w3.org/2001/XMLSchema" xmlns:p="http://schemas.microsoft.com/office/2006/metadata/properties" xmlns:ns2="3edea6fe-52b8-4667-bb86-b2155c8c67e6" xmlns:ns3="7952995f-2f24-4935-944c-2e29180cf736" xmlns:ns4="16b13a6f-7497-445e-a153-7e63321f2fc2" targetNamespace="http://schemas.microsoft.com/office/2006/metadata/properties" ma:root="true" ma:fieldsID="5021330a093b1c5a1c61cacae0c5fad1" ns2:_="" ns3:_="" ns4:_="">
    <xsd:import namespace="3edea6fe-52b8-4667-bb86-b2155c8c67e6"/>
    <xsd:import namespace="7952995f-2f24-4935-944c-2e29180cf736"/>
    <xsd:import namespace="16b13a6f-7497-445e-a153-7e63321f2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dea6fe-52b8-4667-bb86-b2155c8c67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ddc01750-6c40-40dc-ac3d-8fd2a3d724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52995f-2f24-4935-944c-2e29180cf736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359de30-0ff1-469a-a8f1-5b30aa49166a}" ma:internalName="TaxCatchAll" ma:showField="CatchAllData" ma:web="7952995f-2f24-4935-944c-2e29180cf7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b13a6f-7497-445e-a153-7e63321f2fc2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dea6fe-52b8-4667-bb86-b2155c8c67e6">
      <Terms xmlns="http://schemas.microsoft.com/office/infopath/2007/PartnerControls"/>
    </lcf76f155ced4ddcb4097134ff3c332f>
    <TaxCatchAll xmlns="7952995f-2f24-4935-944c-2e29180cf73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88A56C-5422-400E-8EAC-9B2B269A1A22}"/>
</file>

<file path=customXml/itemProps2.xml><?xml version="1.0" encoding="utf-8"?>
<ds:datastoreItem xmlns:ds="http://schemas.openxmlformats.org/officeDocument/2006/customXml" ds:itemID="{D579F4E2-1ACA-484F-A7C5-313A7F15004D}"/>
</file>

<file path=customXml/itemProps3.xml><?xml version="1.0" encoding="utf-8"?>
<ds:datastoreItem xmlns:ds="http://schemas.openxmlformats.org/officeDocument/2006/customXml" ds:itemID="{A3729921-73BA-4051-BB08-70876181A4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Alejandra Enríquez Guajardo</dc:creator>
  <cp:keywords/>
  <dc:description/>
  <cp:lastModifiedBy>Alejandra Enríquez Guajardo</cp:lastModifiedBy>
  <cp:revision/>
  <dcterms:created xsi:type="dcterms:W3CDTF">2019-02-20T18:21:22Z</dcterms:created>
  <dcterms:modified xsi:type="dcterms:W3CDTF">2025-03-04T16:55:04Z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0x010100F6D6A72E992D114C81A6EC0B8C99BA69</vt:lpwstr>
  </property>
  <property fmtid="{D5CDD505-2E9C-101B-9397-08002B2CF9AE}" pid="3" name="MediaServiceImageTags">
    <vt:lpwstr/>
  </property>
</Properties>
</file>