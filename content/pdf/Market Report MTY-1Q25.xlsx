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pamericas.sharepoint.com/sites/WorkSpaces/marketing/Market Reports/2025/"/>
    </mc:Choice>
  </mc:AlternateContent>
  <xr:revisionPtr revIDLastSave="1137" documentId="8_{75CCFB2C-61CD-4677-8E47-04DFE25269CD}" xr6:coauthVersionLast="47" xr6:coauthVersionMax="47" xr10:uidLastSave="{C42362C8-806D-4CB2-BCEE-2295EFB3D28C}"/>
  <bookViews>
    <workbookView xWindow="-98" yWindow="-98" windowWidth="20715" windowHeight="13155" xr2:uid="{F63D63A3-C3F9-422B-B0B0-119FB5C22E0B}"/>
  </bookViews>
  <sheets>
    <sheet name="DONE DEALS" sheetId="8" r:id="rId1"/>
    <sheet name="AVAILABLE" sheetId="2" r:id="rId2"/>
    <sheet name="UNDERCONSTRUCTION" sheetId="3" r:id="rId3"/>
    <sheet name="PRIVATE OWNERS" sheetId="4" r:id="rId4"/>
    <sheet name="LAND" sheetId="5" r:id="rId5"/>
    <sheet name="MARKET SHARE" sheetId="6" r:id="rId6"/>
    <sheet name="PROYECTOS FUTUROS" sheetId="7" r:id="rId7"/>
  </sheets>
  <definedNames>
    <definedName name="_xlnm._FilterDatabase" localSheetId="1" hidden="1">AVAILABLE!$A$4:$L$86</definedName>
    <definedName name="_xlnm._FilterDatabase" localSheetId="0" hidden="1">'DONE DEALS'!$A$4:$T$40</definedName>
    <definedName name="_xlnm._FilterDatabase" localSheetId="3" hidden="1">'PRIVATE OWNERS'!$A$5:$R$6</definedName>
    <definedName name="_xlnm._FilterDatabase" localSheetId="2" hidden="1">UNDERCONSTRUCTION!$A$4:$O$71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8" l="1"/>
  <c r="I85" i="2"/>
  <c r="F84" i="2"/>
  <c r="G84" i="2"/>
  <c r="F69" i="3"/>
  <c r="F68" i="3"/>
  <c r="H70" i="3"/>
  <c r="G70" i="3"/>
  <c r="G28" i="3"/>
  <c r="F27" i="3"/>
  <c r="H28" i="3"/>
  <c r="F26" i="3"/>
  <c r="F25" i="3"/>
  <c r="F24" i="3"/>
  <c r="F76" i="2"/>
  <c r="G76" i="2"/>
  <c r="G37" i="8"/>
  <c r="G38" i="8"/>
  <c r="H39" i="8"/>
  <c r="G39" i="8" l="1"/>
  <c r="G36" i="8"/>
  <c r="H12" i="8"/>
  <c r="G11" i="8"/>
  <c r="G32" i="8"/>
  <c r="H34" i="8"/>
  <c r="H15" i="8"/>
  <c r="G10" i="8"/>
  <c r="G33" i="8"/>
  <c r="F67" i="3"/>
  <c r="F70" i="3" s="1"/>
  <c r="I36" i="2"/>
  <c r="I41" i="2"/>
  <c r="I50" i="2"/>
  <c r="F33" i="2"/>
  <c r="G33" i="2"/>
  <c r="G32" i="2"/>
  <c r="F32" i="2"/>
  <c r="H27" i="8"/>
  <c r="F61" i="2"/>
  <c r="G61" i="2"/>
  <c r="G34" i="8" l="1"/>
  <c r="G14" i="8"/>
  <c r="G15" i="8" s="1"/>
  <c r="F20" i="3"/>
  <c r="F56" i="2"/>
  <c r="I57" i="2"/>
  <c r="G56" i="2"/>
  <c r="F45" i="2"/>
  <c r="G45" i="2"/>
  <c r="F63" i="2"/>
  <c r="G63" i="2"/>
  <c r="F14" i="2"/>
  <c r="G14" i="2"/>
  <c r="F13" i="3" l="1"/>
  <c r="G23" i="8" l="1"/>
  <c r="F74" i="2"/>
  <c r="G74" i="2"/>
  <c r="G7" i="8" l="1"/>
  <c r="G8" i="8"/>
  <c r="G9" i="8" l="1"/>
  <c r="G6" i="8"/>
  <c r="F19" i="3"/>
  <c r="F18" i="3"/>
  <c r="F17" i="3"/>
  <c r="F54" i="2" l="1"/>
  <c r="G54" i="2"/>
  <c r="F11" i="3"/>
  <c r="F9" i="3"/>
  <c r="H65" i="3"/>
  <c r="G65" i="3"/>
  <c r="F61" i="3"/>
  <c r="F60" i="3"/>
  <c r="F75" i="2"/>
  <c r="G75" i="2"/>
  <c r="F33" i="3"/>
  <c r="I81" i="2"/>
  <c r="F71" i="2"/>
  <c r="F72" i="2"/>
  <c r="G71" i="2"/>
  <c r="G72" i="2"/>
  <c r="I25" i="2"/>
  <c r="F6" i="2"/>
  <c r="G6" i="2"/>
  <c r="F55" i="2"/>
  <c r="G55" i="2"/>
  <c r="F44" i="2"/>
  <c r="G44" i="2"/>
  <c r="F53" i="2"/>
  <c r="G53" i="2"/>
  <c r="F52" i="2"/>
  <c r="G52" i="2"/>
  <c r="F8" i="2"/>
  <c r="F7" i="2"/>
  <c r="G7" i="2"/>
  <c r="F58" i="3"/>
  <c r="F70" i="2"/>
  <c r="G70" i="2"/>
  <c r="F34" i="3"/>
  <c r="H24" i="8"/>
  <c r="F55" i="3" l="1"/>
  <c r="F54" i="3"/>
  <c r="G26" i="8" l="1"/>
  <c r="F83" i="2"/>
  <c r="G83" i="2"/>
  <c r="F69" i="2"/>
  <c r="G69" i="2"/>
  <c r="I6" i="4"/>
  <c r="G6" i="4"/>
  <c r="G9" i="2"/>
  <c r="G10" i="2"/>
  <c r="F9" i="2"/>
  <c r="F10" i="2"/>
  <c r="G8" i="2"/>
  <c r="F10" i="3"/>
  <c r="F16" i="3"/>
  <c r="F23" i="2"/>
  <c r="G23" i="2"/>
  <c r="F22" i="2"/>
  <c r="G22" i="2"/>
  <c r="F15" i="2"/>
  <c r="G15" i="2"/>
  <c r="F7" i="3"/>
  <c r="F40" i="3"/>
  <c r="F39" i="3"/>
  <c r="F37" i="3"/>
  <c r="F11" i="2"/>
  <c r="G11" i="2"/>
  <c r="F14" i="3"/>
  <c r="H47" i="3" l="1"/>
  <c r="G47" i="3"/>
  <c r="F24" i="2"/>
  <c r="G24" i="2"/>
  <c r="F65" i="2"/>
  <c r="G65" i="2"/>
  <c r="F59" i="2"/>
  <c r="G60" i="2"/>
  <c r="F60" i="2"/>
  <c r="F53" i="3"/>
  <c r="F56" i="3" s="1"/>
  <c r="F43" i="2"/>
  <c r="G43" i="2"/>
  <c r="G11" i="7" l="1"/>
  <c r="F9" i="7"/>
  <c r="F10" i="7"/>
  <c r="F23" i="3"/>
  <c r="F8" i="3"/>
  <c r="F62" i="3"/>
  <c r="G16" i="2"/>
  <c r="F16" i="2"/>
  <c r="G18" i="2"/>
  <c r="G24" i="8" l="1"/>
  <c r="G20" i="8"/>
  <c r="F28" i="2"/>
  <c r="F59" i="3"/>
  <c r="F12" i="3"/>
  <c r="G28" i="2"/>
  <c r="F6" i="3" l="1"/>
  <c r="F38" i="3"/>
  <c r="F36" i="3"/>
  <c r="F8" i="7" l="1"/>
  <c r="F68" i="2"/>
  <c r="G68" i="2"/>
  <c r="F21" i="3"/>
  <c r="F47" i="3" l="1"/>
  <c r="F80" i="2"/>
  <c r="G80" i="2"/>
  <c r="F21" i="2"/>
  <c r="G21" i="2"/>
  <c r="F64" i="2"/>
  <c r="G64" i="2"/>
  <c r="F73" i="2" l="1"/>
  <c r="G73" i="2"/>
  <c r="G77" i="2"/>
  <c r="F30" i="3" l="1"/>
  <c r="F7" i="7" l="1"/>
  <c r="F6" i="7"/>
  <c r="H6" i="4"/>
  <c r="F43" i="3" l="1"/>
  <c r="F5" i="7" l="1"/>
  <c r="F11" i="7"/>
  <c r="F39" i="2"/>
  <c r="G39" i="2"/>
  <c r="F22" i="3" l="1"/>
  <c r="F15" i="3" l="1"/>
  <c r="F28" i="3" s="1"/>
  <c r="F13" i="2"/>
  <c r="G13" i="2"/>
  <c r="F18" i="2"/>
  <c r="G27" i="8"/>
  <c r="F35" i="3" l="1"/>
  <c r="F64" i="3"/>
  <c r="F63" i="3"/>
  <c r="F19" i="2"/>
  <c r="G19" i="2"/>
  <c r="G79" i="2" l="1"/>
  <c r="G40" i="2"/>
  <c r="F35" i="2"/>
  <c r="G35" i="2"/>
  <c r="F65" i="3"/>
  <c r="G46" i="2"/>
  <c r="G47" i="2"/>
  <c r="G48" i="2"/>
  <c r="G49" i="2"/>
  <c r="F46" i="2"/>
  <c r="F47" i="2"/>
  <c r="F48" i="2"/>
  <c r="F49" i="2"/>
  <c r="G38" i="2"/>
  <c r="F40" i="2"/>
  <c r="F79" i="2"/>
  <c r="F17" i="2"/>
  <c r="F20" i="2"/>
  <c r="F12" i="2"/>
  <c r="G17" i="2"/>
  <c r="G31" i="3"/>
  <c r="G41" i="3" s="1"/>
  <c r="I59" i="2"/>
  <c r="I66" i="2" s="1"/>
  <c r="G59" i="2" l="1"/>
  <c r="H31" i="3"/>
  <c r="H41" i="3" s="1"/>
  <c r="G52" i="3"/>
  <c r="H52" i="3"/>
  <c r="G12" i="2"/>
  <c r="G20" i="2"/>
  <c r="G27" i="2"/>
  <c r="F27" i="2" s="1"/>
  <c r="F29" i="2"/>
  <c r="G29" i="2"/>
  <c r="F30" i="2"/>
  <c r="G30" i="2"/>
  <c r="F31" i="2"/>
  <c r="G31" i="2"/>
  <c r="F34" i="2"/>
  <c r="G34" i="2"/>
  <c r="F38" i="2"/>
  <c r="F62" i="2"/>
  <c r="G62" i="2"/>
  <c r="F77" i="2"/>
  <c r="F78" i="2"/>
  <c r="G78" i="2"/>
  <c r="H56" i="3" l="1"/>
  <c r="G56" i="3"/>
  <c r="H50" i="3" l="1"/>
  <c r="H44" i="3"/>
  <c r="G44" i="3"/>
  <c r="G50" i="3"/>
  <c r="F44" i="3"/>
  <c r="H18" i="8"/>
  <c r="H71" i="3" l="1"/>
  <c r="G71" i="3"/>
  <c r="F41" i="3"/>
  <c r="G18" i="8" l="1"/>
  <c r="G21" i="8" l="1"/>
  <c r="H21" i="8"/>
  <c r="G30" i="8"/>
  <c r="H30" i="8"/>
  <c r="G40" i="8" l="1"/>
  <c r="H40" i="8"/>
  <c r="B45" i="6"/>
  <c r="C13" i="6" s="1"/>
  <c r="C6" i="6" l="1"/>
  <c r="C43" i="6"/>
  <c r="C42" i="6"/>
  <c r="C37" i="6"/>
  <c r="C9" i="6"/>
  <c r="C24" i="6"/>
  <c r="C10" i="6"/>
  <c r="C15" i="6"/>
  <c r="C16" i="6"/>
  <c r="C39" i="6"/>
  <c r="C38" i="6"/>
  <c r="C12" i="6"/>
  <c r="C44" i="6"/>
  <c r="C35" i="6"/>
  <c r="C34" i="6"/>
  <c r="C36" i="6"/>
  <c r="C7" i="6"/>
  <c r="C5" i="6"/>
  <c r="C8" i="6"/>
  <c r="C22" i="6"/>
  <c r="C27" i="6"/>
  <c r="C28" i="6"/>
  <c r="C41" i="6"/>
  <c r="C18" i="6"/>
  <c r="C32" i="6"/>
  <c r="C31" i="6"/>
  <c r="C29" i="6"/>
  <c r="C17" i="6"/>
  <c r="C14" i="6"/>
  <c r="C19" i="6"/>
  <c r="C20" i="6"/>
  <c r="C21" i="6"/>
  <c r="C23" i="6"/>
  <c r="C25" i="6"/>
  <c r="C26" i="6"/>
  <c r="C33" i="6"/>
  <c r="C11" i="6"/>
  <c r="C30" i="6"/>
  <c r="C40" i="6"/>
  <c r="C45" i="6" l="1"/>
  <c r="I86" i="2" l="1"/>
  <c r="F50" i="3" l="1"/>
  <c r="F7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Hernandez</author>
  </authors>
  <commentList>
    <comment ref="N4" authorId="0" shapeId="0" xr:uid="{386B1E64-EEDA-44D2-9CC1-2E14BD62BAE6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Logistica
Distribucion
Manufactura
</t>
        </r>
      </text>
    </comment>
    <comment ref="P4" authorId="0" shapeId="0" xr:uid="{8CFEB239-08BC-4704-96B5-C586960F7200}">
      <text>
        <r>
          <rPr>
            <b/>
            <sz val="9"/>
            <color indexed="81"/>
            <rFont val="Tahoma"/>
            <family val="2"/>
          </rPr>
          <t>Claudia Hernandez:</t>
        </r>
        <r>
          <rPr>
            <sz val="9"/>
            <color indexed="81"/>
            <rFont val="Tahoma"/>
            <family val="2"/>
          </rPr>
          <t xml:space="preserve">
Nuevo
Expansion
Relocalizacion
varias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Enríquez Guajardo</author>
  </authors>
  <commentList>
    <comment ref="I18" authorId="0" shapeId="0" xr:uid="{DC6DFEDD-E1D0-47A5-8C19-093C513329A9}">
      <text>
        <r>
          <rPr>
            <b/>
            <sz val="9"/>
            <color indexed="81"/>
            <rFont val="Tahoma"/>
            <charset val="1"/>
          </rPr>
          <t>Alejandra Enríquez Guajardo:</t>
        </r>
        <r>
          <rPr>
            <sz val="9"/>
            <color indexed="81"/>
            <rFont val="Tahoma"/>
            <charset val="1"/>
          </rPr>
          <t xml:space="preserve">
121,670 sf LG Electronics</t>
        </r>
      </text>
    </comment>
    <comment ref="I38" authorId="0" shapeId="0" xr:uid="{344ED289-B272-433D-8020-394CB7240164}">
      <text>
        <r>
          <rPr>
            <b/>
            <sz val="9"/>
            <color indexed="81"/>
            <rFont val="Tahoma"/>
            <family val="2"/>
          </rPr>
          <t>Alejandra Enríquez Guajardo:</t>
        </r>
        <r>
          <rPr>
            <sz val="9"/>
            <color indexed="81"/>
            <rFont val="Tahoma"/>
            <family val="2"/>
          </rPr>
          <t xml:space="preserve">
60,268 sf de IDL</t>
        </r>
      </text>
    </comment>
    <comment ref="I39" authorId="0" shapeId="0" xr:uid="{7B1A5757-210E-41C1-8F39-997BC5A4A686}">
      <text>
        <r>
          <rPr>
            <b/>
            <sz val="9"/>
            <color indexed="81"/>
            <rFont val="Tahoma"/>
            <charset val="1"/>
          </rPr>
          <t>Alejandra Enríquez Guajardo:</t>
        </r>
        <r>
          <rPr>
            <sz val="9"/>
            <color indexed="81"/>
            <rFont val="Tahoma"/>
            <charset val="1"/>
          </rPr>
          <t xml:space="preserve">
32,487 sf - Verde Valle</t>
        </r>
      </text>
    </comment>
    <comment ref="I48" authorId="0" shapeId="0" xr:uid="{729DB8DA-333D-4AA7-A1CB-BC3D50000241}">
      <text>
        <r>
          <rPr>
            <b/>
            <sz val="9"/>
            <color indexed="81"/>
            <rFont val="Tahoma"/>
            <charset val="1"/>
          </rPr>
          <t>Alejandra Enríquez Guajardo:</t>
        </r>
        <r>
          <rPr>
            <sz val="9"/>
            <color indexed="81"/>
            <rFont val="Tahoma"/>
            <charset val="1"/>
          </rPr>
          <t xml:space="preserve">
63,003 sqft Hussman
65,000 sqft EP Logistics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Enríquez Guajardo</author>
  </authors>
  <commentList>
    <comment ref="N6" authorId="0" shapeId="0" xr:uid="{066E6083-1A67-4181-87CB-3C1AC60ADCEE}">
      <text>
        <r>
          <rPr>
            <b/>
            <sz val="9"/>
            <color indexed="81"/>
            <rFont val="Tahoma"/>
            <charset val="1"/>
          </rPr>
          <t>Alejandra Enríquez Guajardo:</t>
        </r>
        <r>
          <rPr>
            <sz val="9"/>
            <color indexed="81"/>
            <rFont val="Tahoma"/>
            <charset val="1"/>
          </rPr>
          <t xml:space="preserve">
- 1,500 kva substation
- 2 equipped docks
- 30 fc
- 4cph
- SCI: hoses &amp; extinguishers
- Pump Room</t>
        </r>
      </text>
    </comment>
    <comment ref="N7" authorId="0" shapeId="0" xr:uid="{651E5494-DBBC-4149-B880-6D189173FA0F}">
      <text>
        <r>
          <rPr>
            <b/>
            <sz val="9"/>
            <color indexed="81"/>
            <rFont val="Tahoma"/>
            <charset val="1"/>
          </rPr>
          <t>Alejandra Enríquez Guajardo:</t>
        </r>
        <r>
          <rPr>
            <sz val="9"/>
            <color indexed="81"/>
            <rFont val="Tahoma"/>
            <charset val="1"/>
          </rPr>
          <t xml:space="preserve">
- 1,000 kva substation
- 10 equipped docks
- 30 fc
- 4cph
- FPS: Hoses &amp; extinguishers
- Pump Room</t>
        </r>
      </text>
    </comment>
  </commentList>
</comments>
</file>

<file path=xl/sharedStrings.xml><?xml version="1.0" encoding="utf-8"?>
<sst xmlns="http://schemas.openxmlformats.org/spreadsheetml/2006/main" count="1236" uniqueCount="525">
  <si>
    <t>MONTERREY MARKET REPORT</t>
  </si>
  <si>
    <t>Submarket</t>
  </si>
  <si>
    <t>Tenant</t>
  </si>
  <si>
    <t>INDUSTRIAL PARK</t>
  </si>
  <si>
    <t>OWNER</t>
  </si>
  <si>
    <t>BUILDER</t>
  </si>
  <si>
    <t>S.M.</t>
  </si>
  <si>
    <t>S.F.</t>
  </si>
  <si>
    <t>BTS/ INVENTORY</t>
  </si>
  <si>
    <t>CLOSING</t>
  </si>
  <si>
    <t>BROKER</t>
  </si>
  <si>
    <t>TERM</t>
  </si>
  <si>
    <t>INDUSTRY</t>
  </si>
  <si>
    <t>FINAL USE</t>
  </si>
  <si>
    <t>kVA´s</t>
  </si>
  <si>
    <t>EXTRA INFO</t>
  </si>
  <si>
    <t>COUNTRY</t>
  </si>
  <si>
    <t>CURRENCY</t>
  </si>
  <si>
    <t>CLASS</t>
  </si>
  <si>
    <t>APODACA</t>
  </si>
  <si>
    <t>Apodaca</t>
  </si>
  <si>
    <t>USD</t>
  </si>
  <si>
    <t>A</t>
  </si>
  <si>
    <t>Stand Alone</t>
  </si>
  <si>
    <t>Q1</t>
  </si>
  <si>
    <t>Manufacturing</t>
  </si>
  <si>
    <t>-</t>
  </si>
  <si>
    <t>American Industries</t>
  </si>
  <si>
    <t>Avante</t>
  </si>
  <si>
    <t>China</t>
  </si>
  <si>
    <t>Kronos Industrial Park</t>
  </si>
  <si>
    <t>Fibra Macquarie</t>
  </si>
  <si>
    <t>GP Desarrollos</t>
  </si>
  <si>
    <t>Pecari</t>
  </si>
  <si>
    <t>B</t>
  </si>
  <si>
    <t>Finsa Apodaca</t>
  </si>
  <si>
    <t>Colliers</t>
  </si>
  <si>
    <t>Prologis Park Apodaca East</t>
  </si>
  <si>
    <t>Prologis</t>
  </si>
  <si>
    <t>Savy Capital</t>
  </si>
  <si>
    <t>Savy Park IV</t>
  </si>
  <si>
    <t>Stiva</t>
  </si>
  <si>
    <t>Vesta</t>
  </si>
  <si>
    <t>Villacero</t>
  </si>
  <si>
    <t>Vynmsa</t>
  </si>
  <si>
    <t>TOTAL Apodaca</t>
  </si>
  <si>
    <t>CIENEGA DE FLORES</t>
  </si>
  <si>
    <t>Cienega de Flores</t>
  </si>
  <si>
    <t>Coexsa</t>
  </si>
  <si>
    <t>CPA Logistics Center ADN</t>
  </si>
  <si>
    <t>CPA</t>
  </si>
  <si>
    <t>Pocket Park Norte</t>
  </si>
  <si>
    <t>MT01</t>
  </si>
  <si>
    <t>Prosperity Cienega de Flores</t>
  </si>
  <si>
    <t>Prosperity</t>
  </si>
  <si>
    <t>MTY Spec 04</t>
  </si>
  <si>
    <t>Tredec</t>
  </si>
  <si>
    <t>TOTAL Ciénega de Flores</t>
  </si>
  <si>
    <t>MONTERREY</t>
  </si>
  <si>
    <t>Monterrey</t>
  </si>
  <si>
    <t>TOTAL Monterrey</t>
  </si>
  <si>
    <t>SAN NICOLAS</t>
  </si>
  <si>
    <t>San Nicolas</t>
  </si>
  <si>
    <t>Stiva Barragan</t>
  </si>
  <si>
    <t>TOTAL San Nicolas</t>
  </si>
  <si>
    <t>ESCOBEDO</t>
  </si>
  <si>
    <t>Escobedo</t>
  </si>
  <si>
    <t>Areya</t>
  </si>
  <si>
    <t>Vynmsa Escobedo Park</t>
  </si>
  <si>
    <t>Spec V</t>
  </si>
  <si>
    <t>TOTAL Escobedo</t>
  </si>
  <si>
    <t>GUADALUPE</t>
  </si>
  <si>
    <t>Guadalupe</t>
  </si>
  <si>
    <t>Finsa Guadalupe</t>
  </si>
  <si>
    <t>Finsa</t>
  </si>
  <si>
    <t>TOTAL Guadalpue</t>
  </si>
  <si>
    <t>PESQUERIA</t>
  </si>
  <si>
    <t>Pesqueria</t>
  </si>
  <si>
    <t>Total Pesqueria</t>
  </si>
  <si>
    <t>SANTA CATARINA / GARCIA</t>
  </si>
  <si>
    <t>Santa Catarina</t>
  </si>
  <si>
    <t>Fibra Monterrey</t>
  </si>
  <si>
    <t>Finsa Santa Catarina II</t>
  </si>
  <si>
    <t>Spec B</t>
  </si>
  <si>
    <t>TOTAL Santa Catarina</t>
  </si>
  <si>
    <t>SALINAS VICTORIA</t>
  </si>
  <si>
    <t>Salinas Victoria</t>
  </si>
  <si>
    <t>TOTAL Salinas Victoria</t>
  </si>
  <si>
    <t>TOTAL</t>
  </si>
  <si>
    <t>AVAILABLE BUILDINGS</t>
  </si>
  <si>
    <t>Building</t>
  </si>
  <si>
    <t>Location</t>
  </si>
  <si>
    <t>Owner</t>
  </si>
  <si>
    <t>Total S.M.</t>
  </si>
  <si>
    <t>Total Available S.M</t>
  </si>
  <si>
    <t>Total SF</t>
  </si>
  <si>
    <t>Total Available SF</t>
  </si>
  <si>
    <t>Extra Information</t>
  </si>
  <si>
    <t>Flyer</t>
  </si>
  <si>
    <t>Class</t>
  </si>
  <si>
    <t>American Industries II</t>
  </si>
  <si>
    <t>CID-DN-01</t>
  </si>
  <si>
    <t>Carza Dulces Nombres</t>
  </si>
  <si>
    <t>Carza</t>
  </si>
  <si>
    <t>https://www.solili.mx/nave/cid-dn-01-monterrey-mty/32298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25.718018905826128%2C%22lng%22%3A-100.11400334443078%7D%2C%22ne%22%3A%7B%22lat%22%3A25.734018905826126%2C%22lng%22%3A-100.09600334443078%7D%7D%2C%22center%22%3A%7B%22lat%22%3A25.726018905826127%2C%22lng%22%3A-100.10500334443078%7D%2C%22zoom%22%3A15%7D&amp;shape_data=&amp;order_by=&amp;verified=false</t>
  </si>
  <si>
    <t>MCN 3</t>
  </si>
  <si>
    <t>Milenium Industrial Park Center</t>
  </si>
  <si>
    <t>MTY 044</t>
  </si>
  <si>
    <t>Autopista</t>
  </si>
  <si>
    <t>FIBRAMQ_MTY044_flyer.pdf</t>
  </si>
  <si>
    <t>PARKS N1-MK</t>
  </si>
  <si>
    <t>MBP</t>
  </si>
  <si>
    <t>FUNO</t>
  </si>
  <si>
    <t>Martel</t>
  </si>
  <si>
    <t>Building A</t>
  </si>
  <si>
    <t xml:space="preserve">Pecari Industrial Park </t>
  </si>
  <si>
    <t>Listing Select</t>
  </si>
  <si>
    <t>MIC 13</t>
  </si>
  <si>
    <t>Monterrey Industrial Center (PIMSA)</t>
  </si>
  <si>
    <t>MIC 9</t>
  </si>
  <si>
    <t>Flyer Prologis MIC #9_SUITE 2.pdf</t>
  </si>
  <si>
    <t>PPAE 08</t>
  </si>
  <si>
    <t>PPAE8_Prologis Park Apodaca East 8-243,340 sf_Flyer.pdf</t>
  </si>
  <si>
    <t>H-K</t>
  </si>
  <si>
    <t>340 TON HVAC IN WAREHOUSE, SPRINKLERS, 1,500 SM OFFICES. 2,400 KVA´S RIGHTS</t>
  </si>
  <si>
    <t>Via 54 N2</t>
  </si>
  <si>
    <t>Parque Industrial Vía 54</t>
  </si>
  <si>
    <t>Spec H</t>
  </si>
  <si>
    <t>Vynmsa Apodaca Industrial Park</t>
  </si>
  <si>
    <t>Naves-Industriales-Apodaca-VAIP-SPEC-H.pdf</t>
  </si>
  <si>
    <t>Spec IV</t>
  </si>
  <si>
    <t>Vynmsa Aeropuerto Apodaca Industrial Park</t>
  </si>
  <si>
    <t>Aros 4</t>
  </si>
  <si>
    <t>Aros Industrial Park</t>
  </si>
  <si>
    <t>Aros</t>
  </si>
  <si>
    <t>32 ft</t>
  </si>
  <si>
    <t>https://spot2.mx/spots/industrial-general-escobedo-parque-industrial-libramiento/15679</t>
  </si>
  <si>
    <t>GP Escobedo</t>
  </si>
  <si>
    <t>MT01-Escobedo.pdf</t>
  </si>
  <si>
    <t>Nave 1</t>
  </si>
  <si>
    <t>Parque Industrial Libramiento</t>
  </si>
  <si>
    <t>Particular</t>
  </si>
  <si>
    <t>Nave 2</t>
  </si>
  <si>
    <t>Nave 2,3</t>
  </si>
  <si>
    <t>Parque Industrial Tecnocentro</t>
  </si>
  <si>
    <t>Parks</t>
  </si>
  <si>
    <t>Escobedo Warehouse</t>
  </si>
  <si>
    <t>USAA</t>
  </si>
  <si>
    <t>VEP Spec VI</t>
  </si>
  <si>
    <t>Naves-Industriales-Escobedo-VEP-II-SPEC-VI.pdf</t>
  </si>
  <si>
    <t>Nave E</t>
  </si>
  <si>
    <t>Adhoc Sendero</t>
  </si>
  <si>
    <t>Adhoc</t>
  </si>
  <si>
    <t>Adhoc - San Nicolas.pdf</t>
  </si>
  <si>
    <t>BA-INV.R1.pdf</t>
  </si>
  <si>
    <t>Spec A</t>
  </si>
  <si>
    <t>Vynmsa Miguel Aleman Industrial Park</t>
  </si>
  <si>
    <t>Naves-Industriales-SanNicolas-VMAIP-SPEC-A.pdf</t>
  </si>
  <si>
    <t>CPAADN-B017</t>
  </si>
  <si>
    <t>Spec 1</t>
  </si>
  <si>
    <t>HSAC Industrial Park</t>
  </si>
  <si>
    <t>HSAC</t>
  </si>
  <si>
    <t>Cedis Omega</t>
  </si>
  <si>
    <t>El Nacional</t>
  </si>
  <si>
    <t>Private owner</t>
  </si>
  <si>
    <t>Miller A</t>
  </si>
  <si>
    <t>Miller Park</t>
  </si>
  <si>
    <t>Miller</t>
  </si>
  <si>
    <t>Miller B</t>
  </si>
  <si>
    <t>Flyer-MTY-SPEC04-PIP_25ENE.pdf</t>
  </si>
  <si>
    <t>Multi PIA</t>
  </si>
  <si>
    <t>Autodromo</t>
  </si>
  <si>
    <t>Private Owner</t>
  </si>
  <si>
    <t>TOTAL Cienega de Flores</t>
  </si>
  <si>
    <t>AG02-B</t>
  </si>
  <si>
    <t>Areya Guadalupe Industrial Park</t>
  </si>
  <si>
    <t>240807-Flyer-Areya-Guadalupe-AG02-B.pdf</t>
  </si>
  <si>
    <t>AGBP01</t>
  </si>
  <si>
    <t>Areya Guadalupe Business Park</t>
  </si>
  <si>
    <t>Celestica</t>
  </si>
  <si>
    <t>La Silla Guadalupe</t>
  </si>
  <si>
    <t>Ciesa</t>
  </si>
  <si>
    <t>Building I</t>
  </si>
  <si>
    <t>Inventory Building I.pdf</t>
  </si>
  <si>
    <t>MT05</t>
  </si>
  <si>
    <t>Pocket Park Oriente (Juarez)</t>
  </si>
  <si>
    <t>TOTAL Guadalupe</t>
  </si>
  <si>
    <t>SANTA CATARINA</t>
  </si>
  <si>
    <t>Building 1</t>
  </si>
  <si>
    <t>Milenium Industrial Park Santa Catarina</t>
  </si>
  <si>
    <t>Building XXII-C</t>
  </si>
  <si>
    <t>Finsa Santa Catarina</t>
  </si>
  <si>
    <t xml:space="preserve">Spec LT </t>
  </si>
  <si>
    <t>Stand Alone (puerta 4)</t>
  </si>
  <si>
    <t>Robertson Industries</t>
  </si>
  <si>
    <t>GA-INV.04</t>
  </si>
  <si>
    <t>Stiva García Industrial Park</t>
  </si>
  <si>
    <t>availability_report.pdf</t>
  </si>
  <si>
    <t>TCC 4-A</t>
  </si>
  <si>
    <t>Advance Monterrey</t>
  </si>
  <si>
    <t>TCC</t>
  </si>
  <si>
    <t>Spec VIII</t>
  </si>
  <si>
    <t>Vynmsa Santa Catarina Industrial Park</t>
  </si>
  <si>
    <t>Naves-Industriales-SantaCatarina-SPEC-VIII.pdf</t>
  </si>
  <si>
    <t>TOTAL Pesqueria</t>
  </si>
  <si>
    <t>INVENTARIO EN CONSTRUCCION</t>
  </si>
  <si>
    <t>Available</t>
  </si>
  <si>
    <t>Height</t>
  </si>
  <si>
    <t>Docks</t>
  </si>
  <si>
    <t>Ramps</t>
  </si>
  <si>
    <t>Floor</t>
  </si>
  <si>
    <t>AI Building VI</t>
  </si>
  <si>
    <t>6 inches</t>
  </si>
  <si>
    <t>2Q25</t>
  </si>
  <si>
    <t>https://www.airealestate.com.mx/naves-industriales-monterrey/?utm_source=google&amp;utm_medium=cpc&amp;device=c&amp;utm_term=terrenos%20industriales%20en%20monterrey&amp;utm_campaign=21152505335&amp;gad_source=1&amp;gclid=EAIaIQobChMIutzH_aSOiQMVUtvCBB2zAjXyEAAYASAAEgKTbvD_BwE</t>
  </si>
  <si>
    <t>Spec I</t>
  </si>
  <si>
    <t>Mirador Apodaca Industrial Park I</t>
  </si>
  <si>
    <t>ARE Industrial</t>
  </si>
  <si>
    <t>30 ft</t>
  </si>
  <si>
    <t>1Q25</t>
  </si>
  <si>
    <t>https://www.solili.mx/nave/spec-1-monterrey-mty/32923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25.837736%2C%22lng%22%3A-100.145593%7D%2C%22ne%22%3A%7B%22lat%22%3A25.853735999999998%2C%22lng%22%3A-100.127593%7D%7D%2C%22center%22%3A%7B%22lat%22%3A25.845736%2C%22lng%22%3A-100.136593%7D%2C%22zoom%22%3A15%7D&amp;shape_data=&amp;order_by=&amp;verified=false</t>
  </si>
  <si>
    <t>AP008</t>
  </si>
  <si>
    <t>Avante Airport</t>
  </si>
  <si>
    <t>https://www.solili.mx/nave/ap08-monterrey-mty/32334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25.73848600526326%2C%22lng%22%3A-100.14051779509454%7D%2C%22ne%22%3A%7B%22lat%22%3A25.754486005263256%2C%22lng%22%3A-100.12251779509454%7D%7D%2C%22center%22%3A%7B%22lat%22%3A25.746486005263257%2C%22lng%22%3A-100.13151779509454%7D%2C%22zoom%22%3A15%7D&amp;shape_data=&amp;order_by=&amp;verified=false</t>
  </si>
  <si>
    <t>AP10</t>
  </si>
  <si>
    <t>https://www.solili.mx/nave/ap10-monterrey-mty/32247/?lang=en&amp;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25.734730000000003%2C%22lng%22%3A-100.13852%7D%2C%22ne%22%3A%7B%22lat%22%3A25.75073%2C%22lng%22%3A-100.12052%7D%7D%2C%22center%22%3A%7B%22lat%22%3A25.74273%2C%22lng%22%3A-100.12952%7D%2C%22zoom%22%3A15%7D&amp;shape_data=&amp;order_by=&amp;verified=false</t>
  </si>
  <si>
    <t>AP11</t>
  </si>
  <si>
    <t>https://www.solili.mx/nave-en-renta/ap-11-monterrey-mty/4072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25.735214%2C%22lng%22%3A-100.140162%7D%2C%22ne%22%3A%7B%22lat%22%3A25.751213999999997%2C%22lng%22%3A-100.122162%7D%7D%2C%22center%22%3A%7B%22lat%22%3A25.743214%2C%22lng%22%3A-100.131162%7D%2C%22zoom%22%3A15%7D&amp;shape_data=&amp;order_by=&amp;verified=false</t>
  </si>
  <si>
    <t>CID-DN-02</t>
  </si>
  <si>
    <t>CID-DN-02-Brochure.pdf</t>
  </si>
  <si>
    <t>MT03 Apodaca I</t>
  </si>
  <si>
    <t>M3B1</t>
  </si>
  <si>
    <t>M3 Park Apodaca</t>
  </si>
  <si>
    <t>Metropolis</t>
  </si>
  <si>
    <t>Apodaca East 1</t>
  </si>
  <si>
    <t>Prologis East</t>
  </si>
  <si>
    <t>Se rentó 315,000 sft a DSV</t>
  </si>
  <si>
    <t>Edificio 6</t>
  </si>
  <si>
    <t>Vesta Park Apodaca</t>
  </si>
  <si>
    <t>33 ft</t>
  </si>
  <si>
    <t>66e1e298480da181422802.pdf</t>
  </si>
  <si>
    <t>Edificio 7</t>
  </si>
  <si>
    <t>34 ft</t>
  </si>
  <si>
    <t>66e1e5368ab38942280537.pdf</t>
  </si>
  <si>
    <t>Edificio 8</t>
  </si>
  <si>
    <t>3Q25</t>
  </si>
  <si>
    <t>Spec G</t>
  </si>
  <si>
    <t>Naves-Industriales-Apodaca-VAIP-SPEC-G.pdf</t>
  </si>
  <si>
    <t>Spec J</t>
  </si>
  <si>
    <t>Naves-Industriales-Apodaca-VAIP-SPEC-J.pdf</t>
  </si>
  <si>
    <t>B1</t>
  </si>
  <si>
    <t>Parque Industrial San Javier</t>
  </si>
  <si>
    <t>RMSG</t>
  </si>
  <si>
    <t>B2</t>
  </si>
  <si>
    <t>Advance Industrial Park</t>
  </si>
  <si>
    <t>Advance</t>
  </si>
  <si>
    <t>Flyer PIAM SPECA (1).pdf</t>
  </si>
  <si>
    <t>Building 7</t>
  </si>
  <si>
    <t>Milenium sta. Catarina</t>
  </si>
  <si>
    <t>Building 8</t>
  </si>
  <si>
    <t>4Q25</t>
  </si>
  <si>
    <t>Building VI</t>
  </si>
  <si>
    <t>Inventory Building VI.pdf</t>
  </si>
  <si>
    <t>Naves-Industriales-SantaCatarina-II-SPEC-A.pdf</t>
  </si>
  <si>
    <t>Vynmsa Metropolitan Industrial Park</t>
  </si>
  <si>
    <t>Naves-Industriales-SantaCatarina-Metropolitan-SPEC-I.pdf</t>
  </si>
  <si>
    <t>Spec II</t>
  </si>
  <si>
    <t>Spec III</t>
  </si>
  <si>
    <t>Naves-Industriales-SantaCatarina-VMIP-SPEC-III.pdf</t>
  </si>
  <si>
    <t>Vynmsa Metropolitan Industrial Park II</t>
  </si>
  <si>
    <t>Naves-Industriales-SantaCatarina-VMIP-II-SPEC-I.pdf</t>
  </si>
  <si>
    <t>Naves-Industriales-SantaCatarina-VSCIP-SPEC-IV.pdf</t>
  </si>
  <si>
    <t>Spec VII</t>
  </si>
  <si>
    <t>Naves-Industriales-SantaCatarina-SPEC-VII.pdf</t>
  </si>
  <si>
    <t>El Aguila Industrial Park</t>
  </si>
  <si>
    <t>Promoted by Select</t>
  </si>
  <si>
    <t>Airport Technology Park</t>
  </si>
  <si>
    <t>Spec</t>
  </si>
  <si>
    <t>Asia Pacific Park</t>
  </si>
  <si>
    <t>AGIP01</t>
  </si>
  <si>
    <t>Areya Guadalupe Industrial Park II</t>
  </si>
  <si>
    <t>021524-Flyer-AGIPII-01.pdf</t>
  </si>
  <si>
    <t>AGIP02</t>
  </si>
  <si>
    <t>021524-Flyer-AGIPII-02.pdf</t>
  </si>
  <si>
    <t>Building V</t>
  </si>
  <si>
    <t>MT02 Norte</t>
  </si>
  <si>
    <t>MT02-Norte.pdf</t>
  </si>
  <si>
    <t>MTY Spec 07</t>
  </si>
  <si>
    <t>Flyer-MTY-SPEC07.pdf</t>
  </si>
  <si>
    <t>La Joya 02</t>
  </si>
  <si>
    <t>Vynmsa North Industrial Park</t>
  </si>
  <si>
    <t>Naves-Industriales-NuevoLeon-VNIP-SPEC-A.pdf</t>
  </si>
  <si>
    <t>Naves-Industriales-NuevoLeon-VNIP-SPEC-B.pdf</t>
  </si>
  <si>
    <t xml:space="preserve">TOTAL Cienega de Flores							</t>
  </si>
  <si>
    <t>Inventario 1</t>
  </si>
  <si>
    <t>Diamante Escobedo</t>
  </si>
  <si>
    <t xml:space="preserve">TOTAL Escobedo							</t>
  </si>
  <si>
    <t>PRIVATE OWNERS</t>
  </si>
  <si>
    <t>SUBMERCADO</t>
  </si>
  <si>
    <t>EMPRESA</t>
  </si>
  <si>
    <t>Builder</t>
  </si>
  <si>
    <t>UBICACIÓN / PARQUE IND</t>
  </si>
  <si>
    <t>BTS/ Inventario / Terreno</t>
  </si>
  <si>
    <t>TERRENO HAS</t>
  </si>
  <si>
    <t>EDIFICIO S.M.</t>
  </si>
  <si>
    <t>EDIFICIO S.F.</t>
  </si>
  <si>
    <t>CIERRE</t>
  </si>
  <si>
    <t>Industry</t>
  </si>
  <si>
    <t>Final Use</t>
  </si>
  <si>
    <t>INFORMACION ADICIONAL</t>
  </si>
  <si>
    <t>Asking price</t>
  </si>
  <si>
    <t>MONEDA</t>
  </si>
  <si>
    <t>Interpuerto Monterrey</t>
  </si>
  <si>
    <t>LAND</t>
  </si>
  <si>
    <t>AREA TOTAL TERRENO hectareas</t>
  </si>
  <si>
    <t>DESARROLLADO</t>
  </si>
  <si>
    <t>POR DESARROLLAR</t>
  </si>
  <si>
    <t>DISPONIBLE PARA VENTA</t>
  </si>
  <si>
    <t>PRECIO</t>
  </si>
  <si>
    <t>Interpuerto</t>
  </si>
  <si>
    <t>Interpuerto Industrial Park</t>
  </si>
  <si>
    <t>91.56 hec. semi urbanizado / 1,055 hec. en breña</t>
  </si>
  <si>
    <t>Diamante Cienega de Flores</t>
  </si>
  <si>
    <t>Nexxus</t>
  </si>
  <si>
    <t>Nexxus Cienega de Flores</t>
  </si>
  <si>
    <t>Nexxus ADN</t>
  </si>
  <si>
    <t>MTP</t>
  </si>
  <si>
    <t>Vigia</t>
  </si>
  <si>
    <t>American Ind.</t>
  </si>
  <si>
    <t>Regio Parque Industrial Park</t>
  </si>
  <si>
    <t>4,469 mts</t>
  </si>
  <si>
    <t>Capital G</t>
  </si>
  <si>
    <t>Davisa</t>
  </si>
  <si>
    <t>Davisa Apodaca Industrial</t>
  </si>
  <si>
    <t xml:space="preserve">Guadalupe </t>
  </si>
  <si>
    <t>Sta. Catarina</t>
  </si>
  <si>
    <t>Las Americas</t>
  </si>
  <si>
    <t>Martel Industrial Park III</t>
  </si>
  <si>
    <t>Puerta del Norte</t>
  </si>
  <si>
    <t>Puerta del Norte Industrial Park</t>
  </si>
  <si>
    <t>No negociable</t>
  </si>
  <si>
    <t>Escobedo / El Carmen</t>
  </si>
  <si>
    <t>El Jaral Industrial Park</t>
  </si>
  <si>
    <t>García</t>
  </si>
  <si>
    <t>Advance Real Estate</t>
  </si>
  <si>
    <t>Advance Industrial Park (PIAM)</t>
  </si>
  <si>
    <t>El Carmen</t>
  </si>
  <si>
    <t xml:space="preserve">EVALTA  </t>
  </si>
  <si>
    <t>EVALTA - GTP</t>
  </si>
  <si>
    <t>EVALTA - CIP</t>
  </si>
  <si>
    <t>Abasolo</t>
  </si>
  <si>
    <t>EVALTA - NLC</t>
  </si>
  <si>
    <t>Pesquería</t>
  </si>
  <si>
    <t>EVALTA - ATP</t>
  </si>
  <si>
    <t>Diamante Pesquería</t>
  </si>
  <si>
    <t>Solo para BTS</t>
  </si>
  <si>
    <t>Apodaca (DN)</t>
  </si>
  <si>
    <t>Savy</t>
  </si>
  <si>
    <t>Savy Capital Dulces Nombres</t>
  </si>
  <si>
    <t>Robertson</t>
  </si>
  <si>
    <t>Puerta Pesquería</t>
  </si>
  <si>
    <t>Roca Desarrollos</t>
  </si>
  <si>
    <t>Avante Monterrey</t>
  </si>
  <si>
    <t>AGAIP</t>
  </si>
  <si>
    <t>Macrolote urbanizado</t>
  </si>
  <si>
    <t>Finsa Apodaca II</t>
  </si>
  <si>
    <t>Venta</t>
  </si>
  <si>
    <t>PIES CUADRADOS TOTALES CONSTRUIDOS</t>
  </si>
  <si>
    <t>Market / Real Estate Companies</t>
  </si>
  <si>
    <t>Square Feet</t>
  </si>
  <si>
    <t>%Of Total</t>
  </si>
  <si>
    <t>Amistad</t>
  </si>
  <si>
    <t>Capital G (Kronos)</t>
  </si>
  <si>
    <t>Fibra Nova</t>
  </si>
  <si>
    <t>Fibra uno (Finsa)</t>
  </si>
  <si>
    <t>FIMAC (CPA + DCT+ Intramerica+Nexxus+CPA)</t>
  </si>
  <si>
    <t xml:space="preserve">Finsa </t>
  </si>
  <si>
    <t>GDS Industrial</t>
  </si>
  <si>
    <t xml:space="preserve">Grupo GP </t>
  </si>
  <si>
    <t>Hofusan</t>
  </si>
  <si>
    <t>IGS</t>
  </si>
  <si>
    <t>Inmobiliaria Cumbres</t>
  </si>
  <si>
    <t>Intermex</t>
  </si>
  <si>
    <t xml:space="preserve">Kalos </t>
  </si>
  <si>
    <t>Landus</t>
  </si>
  <si>
    <t>Omolap</t>
  </si>
  <si>
    <t>PIRSA</t>
  </si>
  <si>
    <t>Puerta Norte</t>
  </si>
  <si>
    <t>Terrafina (O’Donnell+AI)</t>
  </si>
  <si>
    <t>Total Monterrey :</t>
  </si>
  <si>
    <t>PROYECTOS FUTUROS</t>
  </si>
  <si>
    <t>DUEÑO</t>
  </si>
  <si>
    <t>BTS/ Inventory</t>
  </si>
  <si>
    <t>INICIO</t>
  </si>
  <si>
    <t>Inventario 2</t>
  </si>
  <si>
    <t>Inventario 3</t>
  </si>
  <si>
    <t>Davisa Apodaca</t>
  </si>
  <si>
    <t>M03</t>
  </si>
  <si>
    <t>CID-DN-03</t>
  </si>
  <si>
    <t>CID-DN-04</t>
  </si>
  <si>
    <t>Spec 10</t>
  </si>
  <si>
    <t>AI Building VII</t>
  </si>
  <si>
    <t>Martel San Javier Industrial Park</t>
  </si>
  <si>
    <t>Las Joyas Industrial Park</t>
  </si>
  <si>
    <t>Parque Industrial Aros Aeropuerto</t>
  </si>
  <si>
    <t>Apodaca 9</t>
  </si>
  <si>
    <t>Household Products</t>
  </si>
  <si>
    <t>Avante Guadalupe</t>
  </si>
  <si>
    <t>Prodensa</t>
  </si>
  <si>
    <t>LOI</t>
  </si>
  <si>
    <t>.</t>
  </si>
  <si>
    <t>Proximity Park San Pedro</t>
  </si>
  <si>
    <t>Proximity San Pedro</t>
  </si>
  <si>
    <t>Inmobilem</t>
  </si>
  <si>
    <t>Zilum Park</t>
  </si>
  <si>
    <t>CLOSING PRICE</t>
  </si>
  <si>
    <t>Sepstar</t>
  </si>
  <si>
    <t>G11 A</t>
  </si>
  <si>
    <t>DONE DEALS 2025</t>
  </si>
  <si>
    <t>Visan (Gilsa)</t>
  </si>
  <si>
    <t>Visan Industrial Park</t>
  </si>
  <si>
    <t>SC01</t>
  </si>
  <si>
    <t>Building 05AB27</t>
  </si>
  <si>
    <t>CPAADN-B019</t>
  </si>
  <si>
    <t>Altea Desarrollos</t>
  </si>
  <si>
    <t>Altea Huinala</t>
  </si>
  <si>
    <t>Nave 01</t>
  </si>
  <si>
    <t>Forza</t>
  </si>
  <si>
    <t>Building 2</t>
  </si>
  <si>
    <t>Listing CBRE</t>
  </si>
  <si>
    <t>Monterrey Technology Park</t>
  </si>
  <si>
    <t>MTY012</t>
  </si>
  <si>
    <t>Salinas Victoria Building</t>
  </si>
  <si>
    <t>Spec 5</t>
  </si>
  <si>
    <t>Alliuz Aeropuerto Industrial Park</t>
  </si>
  <si>
    <t>Alliuz</t>
  </si>
  <si>
    <t>Forza Salinas Victoria Industrial Park</t>
  </si>
  <si>
    <t>Forza Park Santa Catarina</t>
  </si>
  <si>
    <t>Spec ACG</t>
  </si>
  <si>
    <t>Martel Santa Catarina II</t>
  </si>
  <si>
    <t>DWP Martel II</t>
  </si>
  <si>
    <t>Listing Citius AG</t>
  </si>
  <si>
    <t>Nave B</t>
  </si>
  <si>
    <t>Multiparque Norte</t>
  </si>
  <si>
    <t>Listing Colliers</t>
  </si>
  <si>
    <t>Nave C</t>
  </si>
  <si>
    <t>Periferico Building</t>
  </si>
  <si>
    <t>Multiparque Escobedo</t>
  </si>
  <si>
    <t>USD $6.50/m2  /  Listing Colliers</t>
  </si>
  <si>
    <t>Nave 3</t>
  </si>
  <si>
    <t>PSAP Building</t>
  </si>
  <si>
    <t>Listing NAI</t>
  </si>
  <si>
    <t>LX Pantos</t>
  </si>
  <si>
    <t>Logistics &amp; Storage</t>
  </si>
  <si>
    <t>Logistics</t>
  </si>
  <si>
    <t>South Korea</t>
  </si>
  <si>
    <t>Stiva Aeropuerto Industrial Park</t>
  </si>
  <si>
    <t>AE.INV-09</t>
  </si>
  <si>
    <t>Citius AG / Cushman</t>
  </si>
  <si>
    <t>Oatey</t>
  </si>
  <si>
    <t>Plumbing</t>
  </si>
  <si>
    <t>USA</t>
  </si>
  <si>
    <t>Munters</t>
  </si>
  <si>
    <t>CBRE</t>
  </si>
  <si>
    <t>Acuity Brands</t>
  </si>
  <si>
    <t>CBRE / Select</t>
  </si>
  <si>
    <t>Nexxus Apodaca</t>
  </si>
  <si>
    <t>Private</t>
  </si>
  <si>
    <t>Edificio X</t>
  </si>
  <si>
    <t>Vivaaerobus</t>
  </si>
  <si>
    <t>MTY 017</t>
  </si>
  <si>
    <t>Regioparque Industrial</t>
  </si>
  <si>
    <t>MTY 030</t>
  </si>
  <si>
    <t>Nexxus Guadalupe Industrial Park</t>
  </si>
  <si>
    <t>MTY010-001</t>
  </si>
  <si>
    <t>KH Building</t>
  </si>
  <si>
    <t>Thor Urbana Industrial</t>
  </si>
  <si>
    <t>Thor Urbana</t>
  </si>
  <si>
    <t>Thor Urbana 1</t>
  </si>
  <si>
    <t>Iridium Building</t>
  </si>
  <si>
    <t>Reparación de rines de aviones</t>
  </si>
  <si>
    <t>MXP</t>
  </si>
  <si>
    <t>MXP $125 por m2</t>
  </si>
  <si>
    <t>Asking price $0.74</t>
  </si>
  <si>
    <t>Asking price $0.68</t>
  </si>
  <si>
    <t>La Joyas</t>
  </si>
  <si>
    <t>Realty World</t>
  </si>
  <si>
    <t>Asking Price</t>
  </si>
  <si>
    <t>Confidencial</t>
  </si>
  <si>
    <t>Terreno</t>
  </si>
  <si>
    <t>N/A</t>
  </si>
  <si>
    <t>Empresa europea</t>
  </si>
  <si>
    <t>Citius AG</t>
  </si>
  <si>
    <t>Grupo Ponderosa</t>
  </si>
  <si>
    <t>Mexico</t>
  </si>
  <si>
    <t>Calidra</t>
  </si>
  <si>
    <t>Magna Park</t>
  </si>
  <si>
    <t>Direct</t>
  </si>
  <si>
    <t>Waldos</t>
  </si>
  <si>
    <t>Sung Electronic</t>
  </si>
  <si>
    <t>Coreana</t>
  </si>
  <si>
    <t>Savy Park II</t>
  </si>
  <si>
    <t>Savy Park</t>
  </si>
  <si>
    <t>SP 03</t>
  </si>
  <si>
    <t>STK</t>
  </si>
  <si>
    <t>IMMSA</t>
  </si>
  <si>
    <t>AE-INV.R7</t>
  </si>
  <si>
    <t>Electric &amp; Electronic</t>
  </si>
  <si>
    <t>BA-INV.R2</t>
  </si>
  <si>
    <t>Building XXIIC</t>
  </si>
  <si>
    <t>Sueco</t>
  </si>
  <si>
    <t>BTS</t>
  </si>
  <si>
    <t>Lighting &amp; Building Management</t>
  </si>
  <si>
    <t>Packing and cardboard</t>
  </si>
  <si>
    <t>Industrial</t>
  </si>
  <si>
    <t>Metal Mechanics</t>
  </si>
  <si>
    <t>Proximity</t>
  </si>
  <si>
    <t>Spec M</t>
  </si>
  <si>
    <t>OMA Vynmsa Aero Industrial Park</t>
  </si>
  <si>
    <t>Spec K</t>
  </si>
  <si>
    <t>Vynmsa Apodaca East Industrial Park</t>
  </si>
  <si>
    <t>Spec XI</t>
  </si>
  <si>
    <t>Vynmsa Escobedo Park II</t>
  </si>
  <si>
    <t>America Realty</t>
  </si>
  <si>
    <t>36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</si>
</sst>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164" formatCode="[$-409]d\-mmm\-yy;@"/>
    <numFmt numFmtId="165" formatCode="[$-409]mmm\-yy;@"/>
    <numFmt numFmtId="166" formatCode="#,##0.0"/>
    <numFmt numFmtId="167" formatCode="_-&quot;$&quot;* #,##0_-;\-&quot;$&quot;* #,##0_-;_-&quot;$&quot;* &quot;-&quot;??_-;_-@_-"/>
    <numFmt numFmtId="168" formatCode="_(&quot;$&quot;* #,##0.00_);_(&quot;$&quot;* \(#,##0.00\);_(&quot;$&quot;* &quot;-&quot;??_);_(@_)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23"/>
      <name val="Century Gothic"/>
      <family val="2"/>
    </font>
    <font>
      <sz val="10"/>
      <name val="Open Sans"/>
      <family val="2"/>
    </font>
    <font>
      <sz val="10"/>
      <name val="Century Gothic"/>
      <family val="2"/>
    </font>
    <font>
      <b/>
      <sz val="16"/>
      <color theme="3" tint="0.39997558519241921"/>
      <name val="Century Gothic"/>
      <family val="2"/>
    </font>
    <font>
      <b/>
      <sz val="12"/>
      <color indexed="23"/>
      <name val="Century Gothic"/>
      <family val="2"/>
    </font>
    <font>
      <b/>
      <sz val="14"/>
      <name val="Arial"/>
      <family val="2"/>
    </font>
    <font>
      <b/>
      <sz val="12"/>
      <color indexed="9"/>
      <name val="Century Gothic"/>
      <family val="2"/>
    </font>
    <font>
      <b/>
      <sz val="12"/>
      <name val="Arial"/>
      <family val="2"/>
    </font>
    <font>
      <b/>
      <sz val="16"/>
      <color indexed="54"/>
      <name val="Century Gothic"/>
      <family val="2"/>
    </font>
    <font>
      <b/>
      <sz val="16"/>
      <name val="Arial"/>
      <family val="2"/>
    </font>
    <font>
      <sz val="10"/>
      <color theme="3" tint="-0.249977111117893"/>
      <name val="Century Gothic"/>
      <family val="2"/>
    </font>
    <font>
      <b/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 tint="0.39997558519241921"/>
      <name val="Century Gothic"/>
      <family val="2"/>
    </font>
    <font>
      <b/>
      <sz val="18"/>
      <name val="Century Gothic"/>
      <family val="2"/>
    </font>
    <font>
      <sz val="9"/>
      <name val="Century Gothic"/>
      <family val="2"/>
    </font>
    <font>
      <b/>
      <sz val="10"/>
      <color indexed="23"/>
      <name val="Century Gothic"/>
      <family val="2"/>
    </font>
    <font>
      <sz val="10"/>
      <color indexed="55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54"/>
      <name val="Century Gothic"/>
      <family val="2"/>
    </font>
    <font>
      <sz val="9"/>
      <color theme="3" tint="-0.249977111117893"/>
      <name val="Century Gothic"/>
      <family val="2"/>
    </font>
    <font>
      <b/>
      <sz val="18"/>
      <color theme="3" tint="0.39997558519241921"/>
      <name val="Century Gothic"/>
      <family val="2"/>
    </font>
    <font>
      <b/>
      <sz val="14"/>
      <color indexed="9"/>
      <name val="Century Gothic"/>
      <family val="2"/>
    </font>
    <font>
      <sz val="10"/>
      <color indexed="9"/>
      <name val="Century Gothic"/>
      <family val="2"/>
    </font>
    <font>
      <b/>
      <sz val="10"/>
      <color indexed="22"/>
      <name val="Century Gothic"/>
      <family val="2"/>
    </font>
    <font>
      <sz val="10"/>
      <color indexed="22"/>
      <name val="Century Gothic"/>
      <family val="2"/>
    </font>
    <font>
      <sz val="10"/>
      <color theme="4" tint="-0.499984740745262"/>
      <name val="Century Gothic"/>
      <family val="2"/>
    </font>
    <font>
      <sz val="14"/>
      <name val="Century Gothic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Century Gothic"/>
      <family val="2"/>
    </font>
    <font>
      <b/>
      <sz val="12"/>
      <color rgb="FFFFFFFF"/>
      <name val="Century Gothic"/>
      <family val="2"/>
    </font>
    <font>
      <b/>
      <sz val="10"/>
      <color theme="3" tint="-0.249977111117893"/>
      <name val="Arial"/>
      <family val="2"/>
    </font>
    <font>
      <sz val="11"/>
      <color theme="1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color theme="3" tint="-0.249977111117893"/>
      <name val="Century Gothic"/>
      <family val="2"/>
    </font>
    <font>
      <sz val="10"/>
      <color theme="3" tint="-0.249977111117893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55"/>
      <name val="Century Gothic"/>
      <family val="2"/>
    </font>
    <font>
      <sz val="12"/>
      <name val="Century Gothic"/>
      <family val="2"/>
    </font>
    <font>
      <sz val="10"/>
      <color rgb="FF333F4F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sz val="10"/>
      <color theme="3" tint="-0.249977111117893"/>
      <name val="Century Gothic"/>
    </font>
    <font>
      <u/>
      <sz val="10"/>
      <color theme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98F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28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3" fontId="28" fillId="2" borderId="2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0" fontId="16" fillId="4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35" fillId="3" borderId="0" xfId="0" applyFont="1" applyFill="1" applyAlignment="1">
      <alignment vertical="center"/>
    </xf>
    <xf numFmtId="3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37" fillId="2" borderId="8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32" fillId="2" borderId="1" xfId="0" applyFont="1" applyFill="1" applyBorder="1" applyAlignment="1">
      <alignment horizontal="right" vertical="center"/>
    </xf>
    <xf numFmtId="3" fontId="32" fillId="2" borderId="1" xfId="0" applyNumberFormat="1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35" fillId="3" borderId="6" xfId="0" applyFont="1" applyFill="1" applyBorder="1" applyAlignment="1">
      <alignment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67" fontId="36" fillId="0" borderId="2" xfId="1" applyNumberFormat="1" applyFont="1" applyBorder="1" applyAlignment="1">
      <alignment horizontal="center" vertical="center"/>
    </xf>
    <xf numFmtId="167" fontId="14" fillId="0" borderId="2" xfId="3" applyNumberFormat="1" applyFont="1" applyBorder="1" applyAlignment="1">
      <alignment horizontal="center" vertical="center"/>
    </xf>
    <xf numFmtId="0" fontId="37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32" fillId="2" borderId="0" xfId="0" applyFont="1" applyFill="1" applyAlignment="1">
      <alignment horizontal="right" vertical="center"/>
    </xf>
    <xf numFmtId="3" fontId="32" fillId="2" borderId="0" xfId="0" applyNumberFormat="1" applyFont="1" applyFill="1" applyAlignment="1">
      <alignment horizontal="right" vertical="center"/>
    </xf>
    <xf numFmtId="0" fontId="40" fillId="0" borderId="13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10" fontId="0" fillId="0" borderId="2" xfId="0" applyNumberFormat="1" applyBorder="1"/>
    <xf numFmtId="0" fontId="19" fillId="0" borderId="0" xfId="0" applyFont="1"/>
    <xf numFmtId="0" fontId="3" fillId="0" borderId="2" xfId="0" applyFont="1" applyBorder="1"/>
    <xf numFmtId="0" fontId="28" fillId="2" borderId="9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37" fillId="2" borderId="4" xfId="0" applyFont="1" applyFill="1" applyBorder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7" fontId="14" fillId="0" borderId="2" xfId="0" applyNumberFormat="1" applyFont="1" applyBorder="1" applyAlignment="1">
      <alignment horizontal="center" vertical="center"/>
    </xf>
    <xf numFmtId="0" fontId="42" fillId="0" borderId="0" xfId="0" applyFont="1"/>
    <xf numFmtId="0" fontId="14" fillId="0" borderId="2" xfId="0" applyFont="1" applyBorder="1" applyAlignment="1">
      <alignment vertical="center"/>
    </xf>
    <xf numFmtId="3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0" fontId="29" fillId="3" borderId="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0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3" fillId="0" borderId="2" xfId="0" applyNumberFormat="1" applyFont="1" applyBorder="1"/>
    <xf numFmtId="9" fontId="3" fillId="0" borderId="2" xfId="0" applyNumberFormat="1" applyFont="1" applyBorder="1"/>
    <xf numFmtId="3" fontId="14" fillId="0" borderId="0" xfId="0" applyNumberFormat="1" applyFont="1" applyAlignment="1">
      <alignment horizontal="center" vertical="center"/>
    </xf>
    <xf numFmtId="0" fontId="19" fillId="0" borderId="2" xfId="4" applyBorder="1"/>
    <xf numFmtId="3" fontId="0" fillId="0" borderId="2" xfId="0" applyNumberFormat="1" applyBorder="1"/>
    <xf numFmtId="0" fontId="14" fillId="4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46" fillId="0" borderId="0" xfId="0" applyFont="1" applyAlignment="1">
      <alignment vertical="center"/>
    </xf>
    <xf numFmtId="0" fontId="47" fillId="0" borderId="0" xfId="0" applyFont="1"/>
    <xf numFmtId="0" fontId="50" fillId="0" borderId="0" xfId="0" applyFont="1"/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0" fontId="52" fillId="0" borderId="0" xfId="0" applyFont="1" applyAlignment="1">
      <alignment vertical="center"/>
    </xf>
    <xf numFmtId="0" fontId="48" fillId="0" borderId="0" xfId="0" applyFont="1" applyAlignment="1">
      <alignment wrapText="1"/>
    </xf>
    <xf numFmtId="0" fontId="0" fillId="4" borderId="0" xfId="0" applyFill="1" applyAlignment="1">
      <alignment vertical="center"/>
    </xf>
    <xf numFmtId="0" fontId="36" fillId="4" borderId="2" xfId="0" applyFont="1" applyFill="1" applyBorder="1" applyAlignment="1">
      <alignment horizontal="center" vertical="center"/>
    </xf>
    <xf numFmtId="3" fontId="36" fillId="4" borderId="2" xfId="0" applyNumberFormat="1" applyFont="1" applyFill="1" applyBorder="1" applyAlignment="1">
      <alignment horizontal="center" vertical="center"/>
    </xf>
    <xf numFmtId="165" fontId="36" fillId="4" borderId="2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/>
    </xf>
    <xf numFmtId="0" fontId="4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center"/>
    </xf>
    <xf numFmtId="0" fontId="54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" fontId="30" fillId="0" borderId="16" xfId="0" applyNumberFormat="1" applyFont="1" applyBorder="1" applyAlignment="1">
      <alignment horizontal="center" vertical="center"/>
    </xf>
    <xf numFmtId="17" fontId="30" fillId="4" borderId="16" xfId="0" applyNumberFormat="1" applyFont="1" applyFill="1" applyBorder="1" applyAlignment="1">
      <alignment horizontal="center" vertical="center"/>
    </xf>
    <xf numFmtId="0" fontId="37" fillId="2" borderId="17" xfId="0" applyFont="1" applyFill="1" applyBorder="1" applyAlignment="1">
      <alignment vertical="center"/>
    </xf>
    <xf numFmtId="3" fontId="1" fillId="0" borderId="0" xfId="0" applyNumberFormat="1" applyFont="1" applyAlignment="1">
      <alignment horizontal="center"/>
    </xf>
    <xf numFmtId="0" fontId="25" fillId="4" borderId="0" xfId="0" applyFont="1" applyFill="1" applyAlignment="1">
      <alignment vertical="center"/>
    </xf>
    <xf numFmtId="0" fontId="43" fillId="0" borderId="2" xfId="4" applyFont="1" applyBorder="1"/>
    <xf numFmtId="3" fontId="1" fillId="0" borderId="2" xfId="0" applyNumberFormat="1" applyFont="1" applyBorder="1"/>
    <xf numFmtId="0" fontId="14" fillId="0" borderId="2" xfId="0" applyFont="1" applyBorder="1" applyAlignment="1">
      <alignment horizontal="center"/>
    </xf>
    <xf numFmtId="0" fontId="30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0" fillId="0" borderId="2" xfId="15" applyBorder="1"/>
    <xf numFmtId="0" fontId="60" fillId="0" borderId="2" xfId="16" applyBorder="1"/>
    <xf numFmtId="0" fontId="45" fillId="5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wrapText="1"/>
    </xf>
    <xf numFmtId="0" fontId="57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57" fillId="0" borderId="2" xfId="0" applyFont="1" applyBorder="1"/>
    <xf numFmtId="0" fontId="5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3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165" fontId="14" fillId="0" borderId="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left"/>
    </xf>
    <xf numFmtId="2" fontId="14" fillId="0" borderId="2" xfId="0" applyNumberFormat="1" applyFont="1" applyBorder="1" applyAlignment="1">
      <alignment horizontal="center"/>
    </xf>
    <xf numFmtId="3" fontId="61" fillId="0" borderId="2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left" vertical="center"/>
    </xf>
    <xf numFmtId="0" fontId="15" fillId="4" borderId="2" xfId="0" applyFont="1" applyFill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2" xfId="2" applyFont="1" applyBorder="1" applyAlignment="1">
      <alignment horizontal="left" vertical="center"/>
    </xf>
    <xf numFmtId="165" fontId="14" fillId="0" borderId="2" xfId="2" applyNumberFormat="1" applyFont="1" applyBorder="1" applyAlignment="1">
      <alignment horizontal="center" vertical="center"/>
    </xf>
    <xf numFmtId="17" fontId="14" fillId="0" borderId="2" xfId="0" applyNumberFormat="1" applyFont="1" applyBorder="1" applyAlignment="1">
      <alignment horizontal="left" vertical="center"/>
    </xf>
    <xf numFmtId="165" fontId="14" fillId="0" borderId="2" xfId="0" applyNumberFormat="1" applyFont="1" applyBorder="1" applyAlignment="1">
      <alignment horizontal="center" vertical="center" wrapText="1"/>
    </xf>
    <xf numFmtId="8" fontId="14" fillId="0" borderId="2" xfId="0" applyNumberFormat="1" applyFont="1" applyBorder="1" applyAlignment="1">
      <alignment horizontal="center" vertical="center"/>
    </xf>
    <xf numFmtId="3" fontId="14" fillId="0" borderId="2" xfId="2" applyNumberFormat="1" applyFont="1" applyBorder="1" applyAlignment="1">
      <alignment horizontal="center" vertical="center"/>
    </xf>
    <xf numFmtId="8" fontId="14" fillId="0" borderId="2" xfId="2" applyNumberFormat="1" applyFont="1" applyBorder="1" applyAlignment="1">
      <alignment horizontal="left" vertical="center"/>
    </xf>
    <xf numFmtId="168" fontId="14" fillId="0" borderId="2" xfId="2" applyNumberFormat="1" applyFont="1" applyBorder="1" applyAlignment="1">
      <alignment horizontal="left" vertical="center"/>
    </xf>
    <xf numFmtId="8" fontId="14" fillId="0" borderId="2" xfId="0" applyNumberFormat="1" applyFont="1" applyBorder="1" applyAlignment="1">
      <alignment vertical="center"/>
    </xf>
    <xf numFmtId="165" fontId="14" fillId="4" borderId="2" xfId="0" applyNumberFormat="1" applyFont="1" applyFill="1" applyBorder="1" applyAlignment="1">
      <alignment horizontal="center" vertical="center"/>
    </xf>
    <xf numFmtId="8" fontId="14" fillId="0" borderId="2" xfId="0" applyNumberFormat="1" applyFont="1" applyBorder="1" applyAlignment="1">
      <alignment horizontal="left" vertical="center"/>
    </xf>
    <xf numFmtId="8" fontId="14" fillId="4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left" vertical="center"/>
    </xf>
    <xf numFmtId="0" fontId="33" fillId="2" borderId="2" xfId="0" applyFont="1" applyFill="1" applyBorder="1" applyAlignment="1">
      <alignment horizontal="center" vertical="center"/>
    </xf>
    <xf numFmtId="164" fontId="33" fillId="2" borderId="2" xfId="0" applyNumberFormat="1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left" vertical="center"/>
    </xf>
    <xf numFmtId="0" fontId="33" fillId="2" borderId="2" xfId="0" applyFont="1" applyFill="1" applyBorder="1" applyAlignment="1">
      <alignment vertical="center"/>
    </xf>
    <xf numFmtId="0" fontId="55" fillId="2" borderId="2" xfId="0" applyFont="1" applyFill="1" applyBorder="1" applyAlignment="1">
      <alignment horizontal="center" vertical="center"/>
    </xf>
    <xf numFmtId="3" fontId="14" fillId="0" borderId="2" xfId="0" applyNumberFormat="1" applyFont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 wrapText="1"/>
    </xf>
    <xf numFmtId="3" fontId="14" fillId="6" borderId="2" xfId="0" applyNumberFormat="1" applyFont="1" applyFill="1" applyBorder="1" applyAlignment="1">
      <alignment horizontal="center" wrapText="1"/>
    </xf>
    <xf numFmtId="0" fontId="14" fillId="6" borderId="2" xfId="0" applyFont="1" applyFill="1" applyBorder="1" applyAlignment="1">
      <alignment horizontal="center" wrapText="1"/>
    </xf>
    <xf numFmtId="166" fontId="14" fillId="0" borderId="2" xfId="0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left" wrapText="1"/>
    </xf>
    <xf numFmtId="3" fontId="14" fillId="0" borderId="2" xfId="0" applyNumberFormat="1" applyFont="1" applyBorder="1" applyAlignment="1">
      <alignment horizontal="center" wrapText="1"/>
    </xf>
    <xf numFmtId="0" fontId="27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60" fillId="0" borderId="2" xfId="15" applyBorder="1" applyAlignment="1">
      <alignment horizontal="left" vertical="center"/>
    </xf>
    <xf numFmtId="0" fontId="60" fillId="0" borderId="2" xfId="15" applyBorder="1" applyAlignment="1">
      <alignment horizontal="left"/>
    </xf>
    <xf numFmtId="17" fontId="14" fillId="4" borderId="2" xfId="0" applyNumberFormat="1" applyFont="1" applyFill="1" applyBorder="1" applyAlignment="1">
      <alignment horizontal="center" vertical="center"/>
    </xf>
    <xf numFmtId="17" fontId="14" fillId="4" borderId="2" xfId="0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7" fontId="6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15" fillId="0" borderId="2" xfId="0" applyNumberFormat="1" applyFont="1" applyBorder="1" applyAlignment="1">
      <alignment vertical="center"/>
    </xf>
    <xf numFmtId="0" fontId="48" fillId="6" borderId="2" xfId="0" applyFont="1" applyFill="1" applyBorder="1" applyAlignment="1">
      <alignment wrapText="1"/>
    </xf>
    <xf numFmtId="3" fontId="14" fillId="0" borderId="2" xfId="0" applyNumberFormat="1" applyFont="1" applyBorder="1" applyAlignment="1">
      <alignment vertical="center"/>
    </xf>
    <xf numFmtId="0" fontId="48" fillId="6" borderId="2" xfId="0" applyFont="1" applyFill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 vertical="center" wrapText="1"/>
    </xf>
    <xf numFmtId="17" fontId="14" fillId="4" borderId="2" xfId="0" applyNumberFormat="1" applyFont="1" applyFill="1" applyBorder="1" applyAlignment="1">
      <alignment vertical="center"/>
    </xf>
    <xf numFmtId="0" fontId="60" fillId="4" borderId="2" xfId="15" applyFill="1" applyBorder="1" applyAlignment="1"/>
    <xf numFmtId="0" fontId="14" fillId="0" borderId="2" xfId="0" applyFont="1" applyBorder="1"/>
    <xf numFmtId="0" fontId="14" fillId="0" borderId="2" xfId="0" applyFont="1" applyBorder="1" applyAlignment="1">
      <alignment horizontal="center" wrapText="1"/>
    </xf>
    <xf numFmtId="0" fontId="49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0" fontId="49" fillId="0" borderId="2" xfId="0" applyFont="1" applyBorder="1"/>
    <xf numFmtId="0" fontId="50" fillId="0" borderId="2" xfId="0" applyFont="1" applyBorder="1"/>
    <xf numFmtId="0" fontId="60" fillId="0" borderId="2" xfId="15" applyBorder="1" applyAlignment="1">
      <alignment horizontal="center"/>
    </xf>
    <xf numFmtId="0" fontId="26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left" vertical="center"/>
    </xf>
    <xf numFmtId="3" fontId="32" fillId="2" borderId="2" xfId="0" applyNumberFormat="1" applyFont="1" applyFill="1" applyBorder="1" applyAlignment="1">
      <alignment horizontal="center" vertical="center"/>
    </xf>
    <xf numFmtId="3" fontId="32" fillId="2" borderId="2" xfId="0" applyNumberFormat="1" applyFont="1" applyFill="1" applyBorder="1" applyAlignment="1">
      <alignment vertical="center"/>
    </xf>
    <xf numFmtId="3" fontId="41" fillId="0" borderId="2" xfId="0" applyNumberFormat="1" applyFont="1" applyBorder="1"/>
    <xf numFmtId="0" fontId="19" fillId="0" borderId="5" xfId="4" applyBorder="1"/>
    <xf numFmtId="0" fontId="16" fillId="0" borderId="0" xfId="2" applyFont="1" applyAlignment="1">
      <alignment vertical="center"/>
    </xf>
    <xf numFmtId="0" fontId="14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center" vertical="top"/>
    </xf>
    <xf numFmtId="0" fontId="48" fillId="0" borderId="2" xfId="0" applyFont="1" applyBorder="1" applyAlignment="1">
      <alignment horizontal="center" vertical="center"/>
    </xf>
    <xf numFmtId="0" fontId="62" fillId="0" borderId="2" xfId="16" applyFont="1" applyFill="1" applyBorder="1"/>
    <xf numFmtId="3" fontId="62" fillId="0" borderId="2" xfId="15" applyNumberFormat="1" applyFont="1" applyFill="1" applyBorder="1" applyAlignment="1">
      <alignment horizontal="left" vertical="center"/>
    </xf>
    <xf numFmtId="0" fontId="62" fillId="0" borderId="2" xfId="15" applyFont="1" applyFill="1" applyBorder="1"/>
    <xf numFmtId="3" fontId="62" fillId="0" borderId="2" xfId="15" applyNumberFormat="1" applyFont="1" applyFill="1" applyBorder="1" applyAlignment="1">
      <alignment horizontal="center" vertical="center"/>
    </xf>
    <xf numFmtId="0" fontId="62" fillId="0" borderId="2" xfId="15" applyFont="1" applyBorder="1"/>
    <xf numFmtId="0" fontId="12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2" borderId="2" xfId="0" applyFont="1" applyFill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4" fillId="3" borderId="0" xfId="0" applyFont="1" applyFill="1" applyAlignment="1">
      <alignment horizontal="left" vertical="center"/>
    </xf>
    <xf numFmtId="0" fontId="39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7" fontId="2" fillId="2" borderId="11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4" fillId="3" borderId="15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center"/>
    </xf>
    <xf numFmtId="0" fontId="57" fillId="0" borderId="2" xfId="0" applyFont="1" applyFill="1" applyBorder="1"/>
    <xf numFmtId="3" fontId="14" fillId="0" borderId="2" xfId="0" applyNumberFormat="1" applyFont="1" applyFill="1" applyBorder="1" applyAlignment="1">
      <alignment horizontal="center" vertical="center"/>
    </xf>
    <xf numFmtId="165" fontId="14" fillId="0" borderId="2" xfId="0" applyNumberFormat="1" applyFont="1" applyFill="1" applyBorder="1" applyAlignment="1">
      <alignment horizontal="center" vertical="center"/>
    </xf>
    <xf numFmtId="0" fontId="57" fillId="0" borderId="2" xfId="0" applyFont="1" applyFill="1" applyBorder="1" applyAlignment="1">
      <alignment horizontal="center" vertical="center"/>
    </xf>
    <xf numFmtId="2" fontId="14" fillId="0" borderId="2" xfId="0" applyNumberFormat="1" applyFont="1" applyFill="1" applyBorder="1" applyAlignment="1">
      <alignment horizontal="left"/>
    </xf>
    <xf numFmtId="2" fontId="14" fillId="0" borderId="2" xfId="0" applyNumberFormat="1" applyFont="1" applyFill="1" applyBorder="1" applyAlignment="1">
      <alignment horizontal="center"/>
    </xf>
    <xf numFmtId="2" fontId="14" fillId="0" borderId="2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3" fontId="14" fillId="0" borderId="2" xfId="0" applyNumberFormat="1" applyFont="1" applyFill="1" applyBorder="1" applyAlignment="1">
      <alignment horizontal="left" vertical="center" wrapText="1"/>
    </xf>
    <xf numFmtId="17" fontId="14" fillId="0" borderId="2" xfId="0" applyNumberFormat="1" applyFont="1" applyFill="1" applyBorder="1" applyAlignment="1">
      <alignment horizontal="center" vertical="center"/>
    </xf>
    <xf numFmtId="0" fontId="60" fillId="0" borderId="2" xfId="15" applyFill="1" applyBorder="1" applyAlignment="1">
      <alignment horizontal="left"/>
    </xf>
    <xf numFmtId="17" fontId="14" fillId="0" borderId="2" xfId="0" applyNumberFormat="1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center" vertical="center"/>
    </xf>
    <xf numFmtId="0" fontId="50" fillId="0" borderId="0" xfId="0" applyFont="1" applyFill="1" applyAlignment="1">
      <alignment vertical="center"/>
    </xf>
    <xf numFmtId="17" fontId="30" fillId="0" borderId="16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center" vertical="top"/>
    </xf>
    <xf numFmtId="3" fontId="14" fillId="0" borderId="2" xfId="0" applyNumberFormat="1" applyFont="1" applyFill="1" applyBorder="1" applyAlignment="1">
      <alignment horizontal="left" vertical="center"/>
    </xf>
    <xf numFmtId="0" fontId="14" fillId="0" borderId="2" xfId="0" applyFont="1" applyFill="1" applyBorder="1" applyAlignment="1">
      <alignment wrapText="1"/>
    </xf>
    <xf numFmtId="0" fontId="30" fillId="0" borderId="0" xfId="0" applyFont="1" applyFill="1" applyAlignment="1">
      <alignment vertical="center"/>
    </xf>
    <xf numFmtId="0" fontId="57" fillId="0" borderId="2" xfId="0" applyFont="1" applyFill="1" applyBorder="1" applyAlignment="1">
      <alignment wrapText="1"/>
    </xf>
    <xf numFmtId="0" fontId="57" fillId="0" borderId="2" xfId="0" applyFont="1" applyFill="1" applyBorder="1" applyAlignment="1">
      <alignment horizontal="center"/>
    </xf>
    <xf numFmtId="3" fontId="57" fillId="0" borderId="2" xfId="0" applyNumberFormat="1" applyFont="1" applyFill="1" applyBorder="1" applyAlignment="1">
      <alignment horizontal="center"/>
    </xf>
    <xf numFmtId="3" fontId="57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right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wrapText="1"/>
    </xf>
    <xf numFmtId="0" fontId="49" fillId="0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0" fontId="15" fillId="0" borderId="18" xfId="0" applyFont="1" applyBorder="1" applyAlignment="1">
      <alignment horizontal="right" vertical="center"/>
    </xf>
    <xf numFmtId="0" fontId="15" fillId="0" borderId="6" xfId="0" applyFont="1" applyBorder="1" applyAlignment="1">
      <alignment horizontal="right" vertical="center"/>
    </xf>
    <xf numFmtId="0" fontId="44" fillId="0" borderId="2" xfId="0" applyFont="1" applyFill="1" applyBorder="1"/>
    <xf numFmtId="0" fontId="14" fillId="0" borderId="2" xfId="0" applyFont="1" applyBorder="1" applyAlignment="1">
      <alignment horizontal="left" vertical="center" wrapText="1"/>
    </xf>
  </cellXfs>
  <cellStyles count="17">
    <cellStyle name="Hipervínculo" xfId="16" builtinId="8"/>
    <cellStyle name="Hyperlink" xfId="15" xr:uid="{00000000-000B-0000-0000-000008000000}"/>
    <cellStyle name="Moneda" xfId="1" builtinId="4"/>
    <cellStyle name="Moneda 2" xfId="3" xr:uid="{FFF35358-769D-42B4-AD01-63737015548C}"/>
    <cellStyle name="Moneda 2 2" xfId="6" xr:uid="{51032BB2-F401-45FA-A6B2-FEE872AE8CC0}"/>
    <cellStyle name="Moneda 2 2 2" xfId="10" xr:uid="{B5FF4A14-EF96-4D49-8317-7D9F19F8CE87}"/>
    <cellStyle name="Moneda 2 2 3" xfId="14" xr:uid="{1AB63616-00B3-4546-878F-5387239B8EF5}"/>
    <cellStyle name="Moneda 2 3" xfId="8" xr:uid="{79EEB431-7CA5-40B4-97D9-6CA788E7B72F}"/>
    <cellStyle name="Moneda 2 4" xfId="12" xr:uid="{229C42C8-FB1F-4905-A29E-73925839F51B}"/>
    <cellStyle name="Moneda 3" xfId="5" xr:uid="{7F9AFBE0-F67B-47E9-98A6-6D13A325ECC9}"/>
    <cellStyle name="Moneda 3 2" xfId="9" xr:uid="{036C200D-117B-4BB4-B7A2-703C7408E35D}"/>
    <cellStyle name="Moneda 3 3" xfId="13" xr:uid="{7054BF7B-832E-4C87-BD15-B444142586AC}"/>
    <cellStyle name="Moneda 4" xfId="7" xr:uid="{19A6770C-970D-4F60-9807-6CB87992F426}"/>
    <cellStyle name="Moneda 5" xfId="11" xr:uid="{50785546-064E-4905-8FE6-19C18BB6B222}"/>
    <cellStyle name="Normal" xfId="0" builtinId="0"/>
    <cellStyle name="Normal 2" xfId="2" xr:uid="{49D2A1A7-CC77-4D20-B0E3-2566FCA2B05F}"/>
    <cellStyle name="Normal 2 2" xfId="4" xr:uid="{A584367E-F6E8-49D3-AAFB-DCB3F109594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b:/s/WorkSpaces/marketing/EcSvQChwQz9Ij22aDguJQBQBfTzT9_0rhZLg9kyawFHbEw?e=33J3oE" TargetMode="External"/><Relationship Id="rId13" Type="http://schemas.openxmlformats.org/officeDocument/2006/relationships/hyperlink" Target="../../../../../:b:/s/WorkSpaces/marketing/EeuDLKeJOdRCqgNHLcxvBzkBaGwobJgNr79CyxMcMO_i_g?e=kItMaa" TargetMode="External"/><Relationship Id="rId18" Type="http://schemas.openxmlformats.org/officeDocument/2006/relationships/hyperlink" Target="https://www.solili.mx/nave/ap10-monterrey-mty/32247/?lang=en&amp;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4730000000003%2C%22lng%22%3A-100.13852%7D%2C%22ne%22%3A%7B%22lat%22%3A25.75073%2C%22lng%22%3A-100.12052%7D%7D%2C%22center%22%3A%7B%22lat%22%3A25.74273%2C%22lng%22%3A-100.12952%7D%2C%22zoom%22%3A15%7D&amp;shape_data=&amp;order_by=&amp;verified=false" TargetMode="External"/><Relationship Id="rId3" Type="http://schemas.openxmlformats.org/officeDocument/2006/relationships/hyperlink" Target="https://spot2.mx/spots/industrial-general-escobedo-parque-industrial-libramiento/15679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../../../../../:b:/s/WorkSpaces/marketing/EUFDw2ElvQFOqP8nd5-9JLYB2cdYNFzbvqXa2aOT0J8Keg?e=PITAuH" TargetMode="External"/><Relationship Id="rId12" Type="http://schemas.openxmlformats.org/officeDocument/2006/relationships/hyperlink" Target="../../../../../:b:/s/WorkSpaces/marketing/ERW50IWjV-5FmzzuLzoeqeAB5MAoN6egxiZH6XXnT68ZlQ?e=Ht33mz" TargetMode="External"/><Relationship Id="rId17" Type="http://schemas.openxmlformats.org/officeDocument/2006/relationships/hyperlink" Target="https://www.solili.mx/nave/ap08-monterrey-mty/32334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848600526326%2C%22lng%22%3A-100.14051779509454%7D%2C%22ne%22%3A%7B%22lat%22%3A25.754486005263256%2C%22lng%22%3A-100.12251779509454%7D%7D%2C%22center%22%3A%7B%22lat%22%3A25.746486005263257%2C%22lng%22%3A-100.13151779509454%7D%2C%22zoom%22%3A15%7D&amp;shape_data=&amp;order_by=&amp;verified=false" TargetMode="External"/><Relationship Id="rId2" Type="http://schemas.openxmlformats.org/officeDocument/2006/relationships/hyperlink" Target="../../../../../:b:/s/WorkSpaces/marketing/ERoM7QUT5ptJv8rLI4lTsIoBpQYHhhlHVvgU3cmZ7ePovA?e=TQPyoD" TargetMode="External"/><Relationship Id="rId16" Type="http://schemas.openxmlformats.org/officeDocument/2006/relationships/hyperlink" Target="https://www.solili.mx/nave/cid-dn-01-monterrey-mty/32298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18018905826128%2C%22lng%22%3A-100.11400334443078%7D%2C%22ne%22%3A%7B%22lat%22%3A25.734018905826126%2C%22lng%22%3A-100.09600334443078%7D%7D%2C%22center%22%3A%7B%22lat%22%3A25.726018905826127%2C%22lng%22%3A-100.10500334443078%7D%2C%22zoom%22%3A15%7D&amp;shape_data=&amp;order_by=&amp;verified=false" TargetMode="External"/><Relationship Id="rId20" Type="http://schemas.openxmlformats.org/officeDocument/2006/relationships/hyperlink" Target="../../../../../:b:/s/WorkSpaces/marketing/EW6sacmuOrdLqcuWiklAVUgBXQQOqo6f-Zmg-7VdKgJPIA?e=jUkUtj" TargetMode="External"/><Relationship Id="rId1" Type="http://schemas.openxmlformats.org/officeDocument/2006/relationships/hyperlink" Target="../../../../../:b:/s/WorkSpaces/marketing/Eaz1ybGA3ahFlap_IZM2pW0BmnAnkEalVmbA5oXd-hPS4g?e=gUX2eA" TargetMode="External"/><Relationship Id="rId6" Type="http://schemas.openxmlformats.org/officeDocument/2006/relationships/hyperlink" Target="../../../../../:b:/s/WorkSpaces/marketing/EVxiFQThNb5Nk67wsSMB_e0BiipdGrhe-t-R1qKuT4DodQ?e=qbwk2j" TargetMode="External"/><Relationship Id="rId11" Type="http://schemas.openxmlformats.org/officeDocument/2006/relationships/hyperlink" Target="../../../../../:b:/s/WorkSpaces/marketing/EfNMgKl-qodFkrzCmYIywLQBCtCXpGIiqZm67-w6asZnLg?e=pVBdQU" TargetMode="External"/><Relationship Id="rId5" Type="http://schemas.openxmlformats.org/officeDocument/2006/relationships/hyperlink" Target="../../../../../:b:/s/WorkSpaces/marketing/ESsj8JRkaS9FsRaRHq6ujcMBuAxwdSBhMts7b8O1PZm8mQ?e=7GdDKN" TargetMode="External"/><Relationship Id="rId15" Type="http://schemas.openxmlformats.org/officeDocument/2006/relationships/hyperlink" Target="../../../../../:b:/s/WorkSpaces/marketing/ERFBaynYsHJDhx1aqTls4_EBuASwqpuGxsAS85DqABi0dg?e=IQO2Ys" TargetMode="External"/><Relationship Id="rId23" Type="http://schemas.openxmlformats.org/officeDocument/2006/relationships/comments" Target="../comments2.xml"/><Relationship Id="rId10" Type="http://schemas.openxmlformats.org/officeDocument/2006/relationships/hyperlink" Target="../../../../../:b:/s/WorkSpaces/marketing/ETINfglxy2xHkTN-RX2xLwsBcHomt_G5YCbJ9xLRiAUTaA?e=4sd2BG" TargetMode="External"/><Relationship Id="rId19" Type="http://schemas.openxmlformats.org/officeDocument/2006/relationships/hyperlink" Target="https://www.solili.mx/nave-en-renta/ap-11-monterrey-mty/4072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5214%2C%22lng%22%3A-100.140162%7D%2C%22ne%22%3A%7B%22lat%22%3A25.751213999999997%2C%22lng%22%3A-100.122162%7D%7D%2C%22center%22%3A%7B%22lat%22%3A25.743214%2C%22lng%22%3A-100.131162%7D%2C%22zoom%22%3A15%7D&amp;shape_data=&amp;order_by=&amp;verified=false" TargetMode="External"/><Relationship Id="rId4" Type="http://schemas.openxmlformats.org/officeDocument/2006/relationships/hyperlink" Target="../../../../../:b:/s/WorkSpaces/marketing/EQzQ4GDHTZFGtWSsRzQ0ptkB4Q6RSqXsynWlGKeAXylimg?e=KeEfkQ" TargetMode="External"/><Relationship Id="rId9" Type="http://schemas.openxmlformats.org/officeDocument/2006/relationships/hyperlink" Target="../../../../../:b:/s/WorkSpaces/marketing/EULKteaG-VNKm4oMdw3lT6gBELDObZeQ-jCjNfHUAjSV2Q?e=wgS4r9" TargetMode="External"/><Relationship Id="rId14" Type="http://schemas.openxmlformats.org/officeDocument/2006/relationships/hyperlink" Target="../../../../../:b:/s/WorkSpaces/marketing/Ea83AdWEV5FNrtUbV5iucnYB6zbbAw2NFYl52UVw8c8Qjw?e=hCqHRJ" TargetMode="External"/><Relationship Id="rId2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b:/s/WorkSpaces/marketing/EXI0jIxmkUtMk_IhbYEop3ABT7fsBCY4-UeZS6i2VfK00w?e=bsCG1I" TargetMode="External"/><Relationship Id="rId13" Type="http://schemas.openxmlformats.org/officeDocument/2006/relationships/hyperlink" Target="../../../../../:b:/s/WorkSpaces/marketing/EWQBo6SORf1Jvt_0V2Iy6BkB5lHxJjfvEFKOWqyhSD4csw?e=5vRN9d" TargetMode="External"/><Relationship Id="rId18" Type="http://schemas.openxmlformats.org/officeDocument/2006/relationships/hyperlink" Target="../../../../../:b:/s/WorkSpaces/marketing/EYaowcjEt3FOlt7OhAoq8rgBYlaphQ0Q7O4xSIqi37c5XA?e=fGI1j0" TargetMode="External"/><Relationship Id="rId3" Type="http://schemas.openxmlformats.org/officeDocument/2006/relationships/hyperlink" Target="../../../../../:b:/s/WorkSpaces/marketing/EUSvLbZgputEn-cpKQ3xFewBQvXYIpdlytL4xN_es4QDig?e=bau02t" TargetMode="External"/><Relationship Id="rId21" Type="http://schemas.openxmlformats.org/officeDocument/2006/relationships/comments" Target="../comments3.xml"/><Relationship Id="rId7" Type="http://schemas.openxmlformats.org/officeDocument/2006/relationships/hyperlink" Target="../../../../../:b:/s/WorkSpaces/marketing/EU7LZrNEH8VJixAGxJ4ZuCgBRFmcdmweWddujMIFe2NxeA?e=63SRW7" TargetMode="External"/><Relationship Id="rId12" Type="http://schemas.openxmlformats.org/officeDocument/2006/relationships/hyperlink" Target="../../../../../:b:/s/WorkSpaces/marketing/Eao3lPH2xN9Bo2skm-fswzABkvSeyFTRm1TUAdr7tNYEqQ?e=LX4lBu" TargetMode="External"/><Relationship Id="rId17" Type="http://schemas.openxmlformats.org/officeDocument/2006/relationships/hyperlink" Target="../../../../../:b:/s/WorkSpaces/marketing/Eckh6VQK3a5JpqLnxsyzmDUBHYOz2DW4h2arGfvIunpNxg?e=2lley9" TargetMode="External"/><Relationship Id="rId2" Type="http://schemas.openxmlformats.org/officeDocument/2006/relationships/hyperlink" Target="../../../../../:b:/s/WorkSpaces/marketing/EUAAnZzdSldIs9gi7M0c4DUB_aOYy3O2KLrJG1Kpz4V2RA?e=C7I9HZ" TargetMode="External"/><Relationship Id="rId16" Type="http://schemas.openxmlformats.org/officeDocument/2006/relationships/hyperlink" Target="../../../../../:b:/s/WorkSpaces/marketing/EWb2CNSnvWVAgGPSyWL9oU0BFkF6da4XesjpUbwu605EDw?e=2zqr6v" TargetMode="External"/><Relationship Id="rId20" Type="http://schemas.openxmlformats.org/officeDocument/2006/relationships/vmlDrawing" Target="../drawings/vmlDrawing3.vml"/><Relationship Id="rId1" Type="http://schemas.openxmlformats.org/officeDocument/2006/relationships/hyperlink" Target="https://www.airealestate.com.mx/naves-industriales-monterrey/?utm_source=google&amp;utm_medium=cpc&amp;device=c&amp;utm_term=terrenos%20industriales%20en%20monterrey&amp;utm_campaign=21152505335&amp;gad_source=1&amp;gclid=EAIaIQobChMIutzH_aSOiQMVUtvCBB2zAjXyEAAYASAAEgKTbvD_BwE" TargetMode="External"/><Relationship Id="rId6" Type="http://schemas.openxmlformats.org/officeDocument/2006/relationships/hyperlink" Target="../../../../../:b:/s/WorkSpaces/marketing/EWnG36xy4MJNpchqW8OI0rkBx7rOpI30JDfuZLF0ARNpxw?e=qAYbY1" TargetMode="External"/><Relationship Id="rId11" Type="http://schemas.openxmlformats.org/officeDocument/2006/relationships/hyperlink" Target="../../../../../:b:/s/WorkSpaces/marketing/EXY8GY8aZBJOrap8eToLzusBtrO_aKY3anr97HIVSbixXw?e=1isvI3" TargetMode="External"/><Relationship Id="rId5" Type="http://schemas.openxmlformats.org/officeDocument/2006/relationships/hyperlink" Target="https://www.solili.mx/nave/spec-1-monterrey-mty/32923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837736%2C%22lng%22%3A-100.145593%7D%2C%22ne%22%3A%7B%22lat%22%3A25.853735999999998%2C%22lng%22%3A-100.127593%7D%7D%2C%22center%22%3A%7B%22lat%22%3A25.845736%2C%22lng%22%3A-100.136593%7D%2C%22zoom%22%3A15%7D&amp;shape_data=&amp;order_by=&amp;verified=false" TargetMode="External"/><Relationship Id="rId15" Type="http://schemas.openxmlformats.org/officeDocument/2006/relationships/hyperlink" Target="../../../../../:b:/s/WorkSpaces/marketing/EfJJXdK9xVdKsbiTHzQ5PF4BfZ55OGfNJKKZFC1wLoCx-A?e=VNuenq" TargetMode="External"/><Relationship Id="rId10" Type="http://schemas.openxmlformats.org/officeDocument/2006/relationships/hyperlink" Target="../../../../../:b:/s/WorkSpaces/marketing/EYyXHrjVyJVNt74ot0yjuVwBCi8bFdz1ri6lo7pUQDS1SQ?e=2ddaNP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../../../../../:b:/s/WorkSpaces/marketing/EYxd_WISMSFDkdMo2CqzyJABl2HkQBysqH18-cc4qOe0SA?e=hQNRCt" TargetMode="External"/><Relationship Id="rId9" Type="http://schemas.openxmlformats.org/officeDocument/2006/relationships/hyperlink" Target="../../../../../:b:/s/WorkSpaces/marketing/EXT92IZqcNxKgIAmdNT1JDkBZbSIPUhHRjcvRhztK8Clgw?e=HTeopX" TargetMode="External"/><Relationship Id="rId14" Type="http://schemas.openxmlformats.org/officeDocument/2006/relationships/hyperlink" Target="../../../../../:b:/s/WorkSpaces/marketing/EWUpAJKrRaNAlEcB-SABsAoByGbahL3c__fqJ5nIGZ0mSQ?e=ZLVP6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46E-6B41-4B1C-8BB2-FB2C0B62F011}">
  <dimension ref="A1:BF53"/>
  <sheetViews>
    <sheetView tabSelected="1" zoomScale="97" zoomScaleNormal="90" workbookViewId="0">
      <selection activeCell="H11" sqref="H11"/>
    </sheetView>
  </sheetViews>
  <sheetFormatPr baseColWidth="10" defaultColWidth="11.3984375" defaultRowHeight="14.25" x14ac:dyDescent="0.45"/>
  <cols>
    <col min="1" max="1" width="3.3984375" style="88" customWidth="1"/>
    <col min="2" max="2" width="9.59765625" style="113" customWidth="1"/>
    <col min="3" max="3" width="16.53125" style="113" customWidth="1"/>
    <col min="4" max="4" width="25.3984375" style="113" customWidth="1"/>
    <col min="5" max="5" width="20.59765625" style="113" customWidth="1"/>
    <col min="6" max="6" width="17" style="113" hidden="1" customWidth="1"/>
    <col min="7" max="8" width="13.1328125" style="121" customWidth="1"/>
    <col min="9" max="9" width="15.19921875" style="121" customWidth="1"/>
    <col min="10" max="10" width="6.1328125" style="88" customWidth="1"/>
    <col min="11" max="11" width="14.73046875" style="113" customWidth="1"/>
    <col min="12" max="12" width="5.59765625" style="88" customWidth="1"/>
    <col min="13" max="13" width="20.73046875" style="3" customWidth="1"/>
    <col min="14" max="14" width="17.19921875" style="88" bestFit="1" customWidth="1"/>
    <col min="15" max="15" width="12.265625" style="3" customWidth="1"/>
    <col min="16" max="16" width="17.19921875" style="3" customWidth="1"/>
    <col min="17" max="17" width="13.3984375" style="88" bestFit="1" customWidth="1"/>
    <col min="18" max="18" width="24.86328125" style="3" customWidth="1"/>
    <col min="19" max="19" width="13.1328125" style="88" customWidth="1"/>
    <col min="20" max="20" width="8.1328125" style="88" customWidth="1"/>
    <col min="21" max="16383" width="11.3984375" style="3"/>
    <col min="16384" max="16384" width="11.3984375" style="3" bestFit="1"/>
  </cols>
  <sheetData>
    <row r="1" spans="1:58" ht="15" x14ac:dyDescent="0.55000000000000004">
      <c r="A1" s="122"/>
      <c r="B1" s="111"/>
      <c r="C1" s="112"/>
      <c r="D1" s="112"/>
      <c r="E1" s="112"/>
      <c r="F1" s="112"/>
      <c r="G1" s="21"/>
      <c r="H1" s="48"/>
      <c r="I1" s="21"/>
      <c r="J1" s="115"/>
      <c r="K1" s="112"/>
      <c r="L1" s="2"/>
      <c r="M1" s="2"/>
      <c r="N1" s="2"/>
      <c r="O1" s="1"/>
      <c r="P1" s="1"/>
      <c r="Q1" s="2"/>
      <c r="R1" s="1"/>
      <c r="S1" s="2"/>
      <c r="T1" s="2"/>
    </row>
    <row r="2" spans="1:58" ht="19.5" customHeight="1" x14ac:dyDescent="0.45">
      <c r="A2" s="229" t="s">
        <v>0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ht="17.649999999999999" x14ac:dyDescent="0.45">
      <c r="A3" s="230" t="s">
        <v>418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s="116" customFormat="1" ht="15.4" customHeight="1" x14ac:dyDescent="0.5">
      <c r="A4" s="6"/>
      <c r="B4" s="7" t="s">
        <v>1</v>
      </c>
      <c r="C4" s="7" t="s">
        <v>2</v>
      </c>
      <c r="D4" s="136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7" t="s">
        <v>8</v>
      </c>
      <c r="J4" s="136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  <c r="R4" s="7" t="s">
        <v>415</v>
      </c>
      <c r="S4" s="7" t="s">
        <v>17</v>
      </c>
      <c r="T4" s="8" t="s">
        <v>18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</row>
    <row r="5" spans="1:58" ht="19.5" customHeight="1" x14ac:dyDescent="0.45">
      <c r="A5" s="227" t="s">
        <v>19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58" s="98" customFormat="1" ht="13.5" customHeight="1" x14ac:dyDescent="0.45">
      <c r="A6" s="73">
        <v>1</v>
      </c>
      <c r="B6" s="137" t="s">
        <v>20</v>
      </c>
      <c r="C6" s="137" t="s">
        <v>459</v>
      </c>
      <c r="D6" s="137" t="s">
        <v>111</v>
      </c>
      <c r="E6" s="73" t="s">
        <v>112</v>
      </c>
      <c r="F6" s="73"/>
      <c r="G6" s="72">
        <f>H6/10.764</f>
        <v>13372.909698996657</v>
      </c>
      <c r="H6" s="72">
        <v>143946</v>
      </c>
      <c r="I6" s="73" t="s">
        <v>110</v>
      </c>
      <c r="J6" s="73" t="s">
        <v>24</v>
      </c>
      <c r="K6" s="73" t="s">
        <v>458</v>
      </c>
      <c r="L6" s="73">
        <v>5</v>
      </c>
      <c r="M6" s="73" t="s">
        <v>460</v>
      </c>
      <c r="N6" s="73" t="s">
        <v>25</v>
      </c>
      <c r="O6" s="73"/>
      <c r="P6" s="73"/>
      <c r="Q6" s="73" t="s">
        <v>461</v>
      </c>
      <c r="R6" s="162">
        <v>0.89</v>
      </c>
      <c r="S6" s="73" t="s">
        <v>21</v>
      </c>
      <c r="T6" s="73" t="s">
        <v>34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  <row r="7" spans="1:58" s="98" customFormat="1" ht="13.5" customHeight="1" x14ac:dyDescent="0.45">
      <c r="A7" s="73">
        <v>2</v>
      </c>
      <c r="B7" s="137" t="s">
        <v>20</v>
      </c>
      <c r="C7" s="137" t="s">
        <v>462</v>
      </c>
      <c r="D7" s="137" t="s">
        <v>23</v>
      </c>
      <c r="E7" s="73" t="s">
        <v>32</v>
      </c>
      <c r="F7" s="73"/>
      <c r="G7" s="72">
        <f t="shared" ref="G7:G8" si="0">H7/10.764</f>
        <v>15096.618357487923</v>
      </c>
      <c r="H7" s="72">
        <v>162500</v>
      </c>
      <c r="I7" s="73" t="s">
        <v>230</v>
      </c>
      <c r="J7" s="73" t="s">
        <v>24</v>
      </c>
      <c r="K7" s="73" t="s">
        <v>523</v>
      </c>
      <c r="L7" s="73">
        <v>7</v>
      </c>
      <c r="M7" s="73" t="s">
        <v>507</v>
      </c>
      <c r="N7" s="73" t="s">
        <v>25</v>
      </c>
      <c r="O7" s="72">
        <v>4000</v>
      </c>
      <c r="P7" s="73"/>
      <c r="Q7" s="73" t="s">
        <v>510</v>
      </c>
      <c r="R7" s="73"/>
      <c r="S7" s="73" t="s">
        <v>21</v>
      </c>
      <c r="T7" s="73" t="s">
        <v>22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</row>
    <row r="8" spans="1:58" s="98" customFormat="1" ht="13.5" customHeight="1" x14ac:dyDescent="0.45">
      <c r="A8" s="73">
        <v>3</v>
      </c>
      <c r="B8" s="137" t="s">
        <v>20</v>
      </c>
      <c r="C8" s="137" t="s">
        <v>469</v>
      </c>
      <c r="D8" s="137" t="s">
        <v>466</v>
      </c>
      <c r="E8" s="73" t="s">
        <v>467</v>
      </c>
      <c r="F8" s="73"/>
      <c r="G8" s="72">
        <f t="shared" si="0"/>
        <v>2972.8725380899295</v>
      </c>
      <c r="H8" s="72">
        <v>32000</v>
      </c>
      <c r="I8" s="73" t="s">
        <v>479</v>
      </c>
      <c r="J8" s="73" t="s">
        <v>24</v>
      </c>
      <c r="K8" s="73" t="s">
        <v>465</v>
      </c>
      <c r="L8" s="73">
        <v>5</v>
      </c>
      <c r="M8" s="73" t="s">
        <v>480</v>
      </c>
      <c r="N8" s="73" t="s">
        <v>25</v>
      </c>
      <c r="O8" s="73">
        <v>150</v>
      </c>
      <c r="P8" s="73"/>
      <c r="Q8" s="73" t="s">
        <v>494</v>
      </c>
      <c r="R8" s="73" t="s">
        <v>482</v>
      </c>
      <c r="S8" s="73" t="s">
        <v>481</v>
      </c>
      <c r="T8" s="73" t="s">
        <v>34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</row>
    <row r="9" spans="1:58" s="98" customFormat="1" ht="13.5" customHeight="1" x14ac:dyDescent="0.45">
      <c r="A9" s="73">
        <v>4</v>
      </c>
      <c r="B9" s="137" t="s">
        <v>20</v>
      </c>
      <c r="C9" s="137" t="s">
        <v>452</v>
      </c>
      <c r="D9" s="137" t="s">
        <v>118</v>
      </c>
      <c r="E9" s="73" t="s">
        <v>38</v>
      </c>
      <c r="F9" s="73"/>
      <c r="G9" s="72">
        <f>H9/10.764</f>
        <v>9436.1761426978828</v>
      </c>
      <c r="H9" s="72">
        <v>101571</v>
      </c>
      <c r="I9" s="73" t="s">
        <v>117</v>
      </c>
      <c r="J9" s="73" t="s">
        <v>24</v>
      </c>
      <c r="K9" s="73" t="s">
        <v>36</v>
      </c>
      <c r="L9" s="73">
        <v>5</v>
      </c>
      <c r="M9" s="73" t="s">
        <v>453</v>
      </c>
      <c r="N9" s="73" t="s">
        <v>454</v>
      </c>
      <c r="O9" s="73">
        <v>300</v>
      </c>
      <c r="P9" s="73"/>
      <c r="Q9" s="73" t="s">
        <v>455</v>
      </c>
      <c r="R9" s="73"/>
      <c r="S9" s="73" t="s">
        <v>21</v>
      </c>
      <c r="T9" s="73" t="s">
        <v>34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98" customFormat="1" ht="13.5" customHeight="1" x14ac:dyDescent="0.45">
      <c r="A10" s="73">
        <v>5</v>
      </c>
      <c r="B10" s="137" t="s">
        <v>20</v>
      </c>
      <c r="C10" s="137" t="s">
        <v>499</v>
      </c>
      <c r="D10" s="137" t="s">
        <v>501</v>
      </c>
      <c r="E10" s="73" t="s">
        <v>502</v>
      </c>
      <c r="F10" s="73"/>
      <c r="G10" s="72">
        <f>H10/10.764</f>
        <v>4081.0107766629508</v>
      </c>
      <c r="H10" s="72">
        <v>43928</v>
      </c>
      <c r="I10" s="73" t="s">
        <v>503</v>
      </c>
      <c r="J10" s="73" t="s">
        <v>24</v>
      </c>
      <c r="K10" s="73" t="s">
        <v>497</v>
      </c>
      <c r="L10" s="73">
        <v>5</v>
      </c>
      <c r="M10" s="73" t="s">
        <v>507</v>
      </c>
      <c r="N10" s="73" t="s">
        <v>25</v>
      </c>
      <c r="O10" s="73"/>
      <c r="P10" s="73"/>
      <c r="Q10" s="73" t="s">
        <v>500</v>
      </c>
      <c r="R10" s="73"/>
      <c r="S10" s="73" t="s">
        <v>21</v>
      </c>
      <c r="T10" s="73" t="s">
        <v>22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 spans="1:58" s="98" customFormat="1" ht="13.5" customHeight="1" x14ac:dyDescent="0.45">
      <c r="A11" s="73">
        <v>6</v>
      </c>
      <c r="B11" s="137" t="s">
        <v>20</v>
      </c>
      <c r="C11" s="137" t="s">
        <v>505</v>
      </c>
      <c r="D11" s="137" t="s">
        <v>456</v>
      </c>
      <c r="E11" s="73" t="s">
        <v>41</v>
      </c>
      <c r="F11" s="73"/>
      <c r="G11" s="72">
        <f>H11/10.764</f>
        <v>2508.4541062801932</v>
      </c>
      <c r="H11" s="72">
        <v>27001</v>
      </c>
      <c r="I11" s="73" t="s">
        <v>506</v>
      </c>
      <c r="J11" s="73" t="s">
        <v>24</v>
      </c>
      <c r="K11" s="73" t="s">
        <v>36</v>
      </c>
      <c r="L11" s="73">
        <v>5</v>
      </c>
      <c r="M11" s="73"/>
      <c r="N11" s="73" t="s">
        <v>25</v>
      </c>
      <c r="O11" s="73">
        <v>500</v>
      </c>
      <c r="P11" s="73"/>
      <c r="Q11" s="73" t="s">
        <v>494</v>
      </c>
      <c r="R11" s="73"/>
      <c r="S11" s="73" t="s">
        <v>21</v>
      </c>
      <c r="T11" s="73" t="s">
        <v>22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89" customFormat="1" ht="12.75" customHeight="1" x14ac:dyDescent="0.45">
      <c r="A12" s="228" t="s">
        <v>45</v>
      </c>
      <c r="B12" s="228"/>
      <c r="C12" s="228"/>
      <c r="D12" s="228"/>
      <c r="E12" s="228"/>
      <c r="F12" s="228"/>
      <c r="G12" s="147">
        <f>SUM(G6:G11)</f>
        <v>47468.041620215539</v>
      </c>
      <c r="H12" s="147">
        <f>SUM(H6:H11)</f>
        <v>510946</v>
      </c>
      <c r="I12" s="148"/>
      <c r="J12" s="148"/>
      <c r="K12" s="149"/>
      <c r="L12" s="148"/>
      <c r="M12" s="150"/>
      <c r="N12" s="150"/>
      <c r="O12" s="148"/>
      <c r="P12" s="148"/>
      <c r="Q12" s="148"/>
      <c r="R12" s="150"/>
      <c r="S12" s="148"/>
      <c r="T12" s="148"/>
    </row>
    <row r="13" spans="1:58" s="13" customFormat="1" ht="18.75" customHeight="1" x14ac:dyDescent="0.45">
      <c r="A13" s="227" t="s">
        <v>46</v>
      </c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</row>
    <row r="14" spans="1:58" s="256" customFormat="1" ht="13.5" customHeight="1" x14ac:dyDescent="0.35">
      <c r="A14" s="246">
        <v>1</v>
      </c>
      <c r="B14" s="247" t="s">
        <v>47</v>
      </c>
      <c r="C14" s="248" t="s">
        <v>493</v>
      </c>
      <c r="D14" s="248" t="s">
        <v>403</v>
      </c>
      <c r="E14" s="249" t="s">
        <v>485</v>
      </c>
      <c r="F14" s="249"/>
      <c r="G14" s="249">
        <f>H14/10.764</f>
        <v>28354.515050167225</v>
      </c>
      <c r="H14" s="249">
        <v>305208</v>
      </c>
      <c r="I14" s="246" t="s">
        <v>289</v>
      </c>
      <c r="J14" s="250" t="s">
        <v>24</v>
      </c>
      <c r="K14" s="251" t="s">
        <v>486</v>
      </c>
      <c r="L14" s="246">
        <v>7</v>
      </c>
      <c r="M14" s="251" t="s">
        <v>513</v>
      </c>
      <c r="N14" s="251" t="s">
        <v>25</v>
      </c>
      <c r="O14" s="249">
        <v>1000</v>
      </c>
      <c r="P14" s="252"/>
      <c r="Q14" s="253" t="s">
        <v>494</v>
      </c>
      <c r="R14" s="162">
        <v>7.4</v>
      </c>
      <c r="S14" s="254" t="s">
        <v>21</v>
      </c>
      <c r="T14" s="249" t="s">
        <v>22</v>
      </c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</row>
    <row r="15" spans="1:58" s="12" customFormat="1" ht="12.75" customHeight="1" x14ac:dyDescent="0.45">
      <c r="A15" s="228" t="s">
        <v>57</v>
      </c>
      <c r="B15" s="228"/>
      <c r="C15" s="228"/>
      <c r="D15" s="228"/>
      <c r="E15" s="228"/>
      <c r="F15" s="228"/>
      <c r="G15" s="147">
        <f>SUM(G14:G14)</f>
        <v>28354.515050167225</v>
      </c>
      <c r="H15" s="147">
        <f>SUM(H14:H14)</f>
        <v>305208</v>
      </c>
      <c r="I15" s="147"/>
      <c r="J15" s="147"/>
      <c r="K15" s="155"/>
      <c r="L15" s="147"/>
      <c r="M15" s="155"/>
      <c r="N15" s="155"/>
      <c r="O15" s="155"/>
      <c r="P15" s="146"/>
      <c r="Q15" s="148"/>
      <c r="R15" s="146"/>
      <c r="S15" s="156"/>
      <c r="T15" s="148"/>
    </row>
    <row r="16" spans="1:58" s="14" customFormat="1" ht="19.5" customHeight="1" x14ac:dyDescent="0.45">
      <c r="A16" s="227" t="s">
        <v>58</v>
      </c>
      <c r="B16" s="227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</row>
    <row r="17" spans="1:58" s="98" customFormat="1" ht="12.75" customHeight="1" x14ac:dyDescent="0.35">
      <c r="A17" s="157">
        <v>1</v>
      </c>
      <c r="B17" s="158" t="s">
        <v>59</v>
      </c>
      <c r="C17" s="137"/>
      <c r="D17" s="137"/>
      <c r="E17" s="137"/>
      <c r="F17" s="137"/>
      <c r="G17" s="72"/>
      <c r="H17" s="72"/>
      <c r="I17" s="73"/>
      <c r="J17" s="159"/>
      <c r="K17" s="160"/>
      <c r="L17" s="73"/>
      <c r="M17" s="73"/>
      <c r="N17" s="137"/>
      <c r="O17" s="73"/>
      <c r="P17" s="152"/>
      <c r="Q17" s="153"/>
      <c r="R17" s="152"/>
      <c r="S17" s="52"/>
      <c r="T17" s="157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12" customFormat="1" ht="12.75" customHeight="1" x14ac:dyDescent="0.45">
      <c r="A18" s="228" t="s">
        <v>60</v>
      </c>
      <c r="B18" s="228"/>
      <c r="C18" s="228"/>
      <c r="D18" s="228"/>
      <c r="E18" s="228"/>
      <c r="F18" s="228"/>
      <c r="G18" s="147">
        <f>SUM(G17:G17)</f>
        <v>0</v>
      </c>
      <c r="H18" s="147">
        <f>SUM(H17:H17)</f>
        <v>0</v>
      </c>
      <c r="I18" s="147"/>
      <c r="J18" s="147"/>
      <c r="K18" s="155"/>
      <c r="L18" s="147"/>
      <c r="M18" s="155"/>
      <c r="N18" s="155"/>
      <c r="O18" s="155"/>
      <c r="P18" s="146"/>
      <c r="Q18" s="148"/>
      <c r="R18" s="146"/>
      <c r="S18" s="156"/>
      <c r="T18" s="148"/>
    </row>
    <row r="19" spans="1:58" s="14" customFormat="1" ht="19.5" customHeight="1" x14ac:dyDescent="0.45">
      <c r="A19" s="227" t="s">
        <v>61</v>
      </c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</row>
    <row r="20" spans="1:58" s="11" customFormat="1" ht="12.75" customHeight="1" x14ac:dyDescent="0.45">
      <c r="A20" s="73">
        <v>1</v>
      </c>
      <c r="B20" s="138" t="s">
        <v>62</v>
      </c>
      <c r="C20" s="138"/>
      <c r="D20" s="137"/>
      <c r="E20" s="72"/>
      <c r="F20" s="72" t="s">
        <v>41</v>
      </c>
      <c r="G20" s="72">
        <f>H20/10.764</f>
        <v>0</v>
      </c>
      <c r="H20" s="72"/>
      <c r="I20" s="73"/>
      <c r="J20" s="161"/>
      <c r="K20" s="73"/>
      <c r="L20" s="73"/>
      <c r="M20" s="73"/>
      <c r="N20" s="137"/>
      <c r="O20" s="73"/>
      <c r="P20" s="137"/>
      <c r="Q20" s="73"/>
      <c r="R20" s="137"/>
      <c r="S20" s="73"/>
      <c r="T20" s="162"/>
    </row>
    <row r="21" spans="1:58" s="12" customFormat="1" ht="12.75" customHeight="1" x14ac:dyDescent="0.45">
      <c r="A21" s="228" t="s">
        <v>64</v>
      </c>
      <c r="B21" s="228"/>
      <c r="C21" s="228"/>
      <c r="D21" s="228"/>
      <c r="E21" s="228"/>
      <c r="F21" s="228"/>
      <c r="G21" s="147">
        <f>SUM(G20:G20)</f>
        <v>0</v>
      </c>
      <c r="H21" s="147">
        <f>SUM(H20:H20)</f>
        <v>0</v>
      </c>
      <c r="I21" s="147"/>
      <c r="J21" s="147"/>
      <c r="K21" s="155"/>
      <c r="L21" s="147"/>
      <c r="M21" s="155"/>
      <c r="N21" s="145"/>
      <c r="O21" s="155"/>
      <c r="P21" s="146"/>
      <c r="Q21" s="148"/>
      <c r="R21" s="146"/>
      <c r="S21" s="156"/>
      <c r="T21" s="148"/>
    </row>
    <row r="22" spans="1:58" s="14" customFormat="1" ht="19.5" customHeight="1" x14ac:dyDescent="0.45">
      <c r="A22" s="227" t="s">
        <v>65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</row>
    <row r="23" spans="1:58" s="12" customFormat="1" ht="12.75" customHeight="1" x14ac:dyDescent="0.35">
      <c r="A23" s="157">
        <v>1</v>
      </c>
      <c r="B23" s="158" t="s">
        <v>66</v>
      </c>
      <c r="C23" s="141" t="s">
        <v>464</v>
      </c>
      <c r="D23" s="141" t="s">
        <v>137</v>
      </c>
      <c r="E23" s="52" t="s">
        <v>32</v>
      </c>
      <c r="F23" s="157"/>
      <c r="G23" s="163">
        <f>H23/10.764</f>
        <v>4299.981419546637</v>
      </c>
      <c r="H23" s="72">
        <v>46285</v>
      </c>
      <c r="I23" s="73" t="s">
        <v>52</v>
      </c>
      <c r="J23" s="151" t="s">
        <v>24</v>
      </c>
      <c r="K23" s="157" t="s">
        <v>463</v>
      </c>
      <c r="L23" s="157">
        <v>7</v>
      </c>
      <c r="M23" s="157" t="s">
        <v>512</v>
      </c>
      <c r="N23" s="157" t="s">
        <v>25</v>
      </c>
      <c r="O23" s="163">
        <v>500</v>
      </c>
      <c r="P23" s="164"/>
      <c r="Q23" s="153" t="s">
        <v>461</v>
      </c>
      <c r="R23" s="165"/>
      <c r="S23" s="162" t="s">
        <v>21</v>
      </c>
      <c r="T23" s="157" t="s">
        <v>22</v>
      </c>
    </row>
    <row r="24" spans="1:58" s="12" customFormat="1" ht="12.75" customHeight="1" x14ac:dyDescent="0.45">
      <c r="A24" s="228" t="s">
        <v>70</v>
      </c>
      <c r="B24" s="228"/>
      <c r="C24" s="228"/>
      <c r="D24" s="228"/>
      <c r="E24" s="228"/>
      <c r="F24" s="228"/>
      <c r="G24" s="147">
        <f>SUM(G23:G23)</f>
        <v>4299.981419546637</v>
      </c>
      <c r="H24" s="147">
        <f>SUM(H23:H23)</f>
        <v>46285</v>
      </c>
      <c r="I24" s="147"/>
      <c r="J24" s="147"/>
      <c r="K24" s="155"/>
      <c r="L24" s="147"/>
      <c r="M24" s="155"/>
      <c r="N24" s="155"/>
      <c r="O24" s="155"/>
      <c r="P24" s="146"/>
      <c r="Q24" s="148"/>
      <c r="R24" s="146"/>
      <c r="S24" s="156"/>
      <c r="T24" s="148"/>
    </row>
    <row r="25" spans="1:58" s="13" customFormat="1" ht="20.25" customHeight="1" x14ac:dyDescent="0.45">
      <c r="A25" s="227" t="s">
        <v>71</v>
      </c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</row>
    <row r="26" spans="1:58" s="13" customFormat="1" ht="12" customHeight="1" x14ac:dyDescent="0.35">
      <c r="A26" s="73">
        <v>1</v>
      </c>
      <c r="B26" s="137" t="s">
        <v>72</v>
      </c>
      <c r="C26" s="144" t="s">
        <v>416</v>
      </c>
      <c r="D26" s="144" t="s">
        <v>407</v>
      </c>
      <c r="E26" s="145" t="s">
        <v>28</v>
      </c>
      <c r="F26" s="145"/>
      <c r="G26" s="72">
        <f>H26/10.764</f>
        <v>8959.4017094017108</v>
      </c>
      <c r="H26" s="72">
        <v>96439</v>
      </c>
      <c r="I26" s="73" t="s">
        <v>417</v>
      </c>
      <c r="J26" s="151" t="s">
        <v>24</v>
      </c>
      <c r="K26" s="145" t="s">
        <v>408</v>
      </c>
      <c r="L26" s="73">
        <v>10</v>
      </c>
      <c r="M26" s="142" t="s">
        <v>406</v>
      </c>
      <c r="N26" s="73" t="s">
        <v>25</v>
      </c>
      <c r="O26" s="72" t="s">
        <v>26</v>
      </c>
      <c r="P26" s="166"/>
      <c r="Q26" s="162" t="s">
        <v>29</v>
      </c>
      <c r="R26" s="166"/>
      <c r="S26" s="162" t="s">
        <v>21</v>
      </c>
      <c r="T26" s="151" t="s">
        <v>22</v>
      </c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</row>
    <row r="27" spans="1:58" s="12" customFormat="1" ht="12.75" customHeight="1" x14ac:dyDescent="0.45">
      <c r="A27" s="228" t="s">
        <v>75</v>
      </c>
      <c r="B27" s="228"/>
      <c r="C27" s="228"/>
      <c r="D27" s="228"/>
      <c r="E27" s="228"/>
      <c r="F27" s="228"/>
      <c r="G27" s="147">
        <f>SUM(G26:G26)</f>
        <v>8959.4017094017108</v>
      </c>
      <c r="H27" s="147">
        <f>SUM(H26:H26)</f>
        <v>96439</v>
      </c>
      <c r="I27" s="147"/>
      <c r="J27" s="147"/>
      <c r="K27" s="155"/>
      <c r="L27" s="147"/>
      <c r="M27" s="155"/>
      <c r="N27" s="155"/>
      <c r="O27" s="155"/>
      <c r="P27" s="155"/>
      <c r="Q27" s="147"/>
      <c r="R27" s="155"/>
      <c r="S27" s="147"/>
      <c r="T27" s="147"/>
    </row>
    <row r="28" spans="1:58" s="15" customFormat="1" ht="20.25" customHeight="1" x14ac:dyDescent="0.45">
      <c r="A28" s="227" t="s">
        <v>76</v>
      </c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</row>
    <row r="29" spans="1:58" s="28" customFormat="1" ht="13.5" customHeight="1" x14ac:dyDescent="0.45">
      <c r="A29" s="16">
        <v>1</v>
      </c>
      <c r="B29" s="138" t="s">
        <v>77</v>
      </c>
      <c r="C29" s="138"/>
      <c r="D29" s="138"/>
      <c r="E29" s="138"/>
      <c r="F29" s="138"/>
      <c r="G29" s="139"/>
      <c r="H29" s="139"/>
      <c r="I29" s="16"/>
      <c r="J29" s="167"/>
      <c r="K29" s="138"/>
      <c r="L29" s="16"/>
      <c r="M29" s="16"/>
      <c r="N29" s="138"/>
      <c r="O29" s="138"/>
      <c r="P29" s="138"/>
      <c r="Q29" s="16"/>
      <c r="R29" s="138"/>
      <c r="S29" s="16"/>
      <c r="T29" s="16"/>
    </row>
    <row r="30" spans="1:58" s="12" customFormat="1" ht="12.75" customHeight="1" x14ac:dyDescent="0.45">
      <c r="A30" s="148"/>
      <c r="B30" s="149"/>
      <c r="C30" s="149"/>
      <c r="D30" s="149"/>
      <c r="E30" s="228" t="s">
        <v>78</v>
      </c>
      <c r="F30" s="228"/>
      <c r="G30" s="147">
        <f>SUM(G29:G29)</f>
        <v>0</v>
      </c>
      <c r="H30" s="147">
        <f>SUM(H29:H29)</f>
        <v>0</v>
      </c>
      <c r="I30" s="147"/>
      <c r="J30" s="147"/>
      <c r="K30" s="155"/>
      <c r="L30" s="147"/>
      <c r="M30" s="155"/>
      <c r="N30" s="155"/>
      <c r="O30" s="155"/>
      <c r="P30" s="146"/>
      <c r="Q30" s="148"/>
      <c r="R30" s="146"/>
      <c r="S30" s="148"/>
      <c r="T30" s="148"/>
    </row>
    <row r="31" spans="1:58" s="13" customFormat="1" ht="20.25" customHeight="1" x14ac:dyDescent="0.45">
      <c r="A31" s="227" t="s">
        <v>79</v>
      </c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</row>
    <row r="32" spans="1:58" s="29" customFormat="1" ht="13.5" customHeight="1" x14ac:dyDescent="0.45">
      <c r="A32" s="73">
        <v>1</v>
      </c>
      <c r="B32" s="137" t="s">
        <v>80</v>
      </c>
      <c r="C32" s="138" t="s">
        <v>504</v>
      </c>
      <c r="D32" s="137" t="s">
        <v>82</v>
      </c>
      <c r="E32" s="73" t="s">
        <v>112</v>
      </c>
      <c r="F32" s="73"/>
      <c r="G32" s="72">
        <f>H32/10.764</f>
        <v>3195.8379784466742</v>
      </c>
      <c r="H32" s="72">
        <v>34400</v>
      </c>
      <c r="I32" s="73" t="s">
        <v>509</v>
      </c>
      <c r="J32" s="151" t="s">
        <v>24</v>
      </c>
      <c r="K32" s="73" t="s">
        <v>497</v>
      </c>
      <c r="L32" s="73">
        <v>7</v>
      </c>
      <c r="M32" s="73" t="s">
        <v>515</v>
      </c>
      <c r="N32" s="52" t="s">
        <v>454</v>
      </c>
      <c r="O32" s="73" t="s">
        <v>26</v>
      </c>
      <c r="P32" s="168"/>
      <c r="Q32" s="162" t="s">
        <v>494</v>
      </c>
      <c r="R32" s="168"/>
      <c r="S32" s="169" t="s">
        <v>21</v>
      </c>
      <c r="T32" s="151" t="s">
        <v>22</v>
      </c>
    </row>
    <row r="33" spans="1:58" s="29" customFormat="1" ht="13.5" customHeight="1" x14ac:dyDescent="0.45">
      <c r="A33" s="73">
        <v>2</v>
      </c>
      <c r="B33" s="137" t="s">
        <v>80</v>
      </c>
      <c r="C33" s="138" t="s">
        <v>495</v>
      </c>
      <c r="D33" s="137" t="s">
        <v>496</v>
      </c>
      <c r="E33" s="73" t="s">
        <v>172</v>
      </c>
      <c r="F33" s="73" t="s">
        <v>74</v>
      </c>
      <c r="G33" s="72">
        <f>H33/10.764</f>
        <v>2421.0330732069865</v>
      </c>
      <c r="H33" s="72">
        <v>26060</v>
      </c>
      <c r="I33" s="73" t="s">
        <v>159</v>
      </c>
      <c r="J33" s="151" t="s">
        <v>24</v>
      </c>
      <c r="K33" s="73" t="s">
        <v>36</v>
      </c>
      <c r="L33" s="73">
        <v>3</v>
      </c>
      <c r="M33" s="73" t="s">
        <v>514</v>
      </c>
      <c r="N33" s="52" t="s">
        <v>454</v>
      </c>
      <c r="O33" s="73" t="s">
        <v>26</v>
      </c>
      <c r="P33" s="168"/>
      <c r="Q33" s="162" t="s">
        <v>494</v>
      </c>
      <c r="R33" s="168"/>
      <c r="S33" s="169" t="s">
        <v>21</v>
      </c>
      <c r="T33" s="151" t="s">
        <v>34</v>
      </c>
    </row>
    <row r="34" spans="1:58" s="12" customFormat="1" ht="12.75" customHeight="1" x14ac:dyDescent="0.45">
      <c r="A34" s="228" t="s">
        <v>84</v>
      </c>
      <c r="B34" s="228"/>
      <c r="C34" s="228"/>
      <c r="D34" s="228"/>
      <c r="E34" s="228"/>
      <c r="F34" s="228"/>
      <c r="G34" s="147">
        <f>SUM(G32:G33)</f>
        <v>5616.8710516536612</v>
      </c>
      <c r="H34" s="147">
        <f>SUM(H32:H33)</f>
        <v>60460</v>
      </c>
      <c r="I34" s="147"/>
      <c r="J34" s="147"/>
      <c r="K34" s="155"/>
      <c r="L34" s="147"/>
      <c r="M34" s="155"/>
      <c r="N34" s="155"/>
      <c r="O34" s="147"/>
      <c r="P34" s="146"/>
      <c r="Q34" s="148"/>
      <c r="R34" s="146"/>
      <c r="S34" s="156"/>
      <c r="T34" s="148"/>
    </row>
    <row r="35" spans="1:58" s="13" customFormat="1" ht="20.25" customHeight="1" x14ac:dyDescent="0.45">
      <c r="A35" s="227" t="s">
        <v>85</v>
      </c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</row>
    <row r="36" spans="1:58" s="256" customFormat="1" ht="13.5" customHeight="1" x14ac:dyDescent="0.35">
      <c r="A36" s="246">
        <v>1</v>
      </c>
      <c r="B36" s="247" t="s">
        <v>86</v>
      </c>
      <c r="C36" s="248" t="s">
        <v>498</v>
      </c>
      <c r="D36" s="248" t="s">
        <v>166</v>
      </c>
      <c r="E36" s="249" t="s">
        <v>167</v>
      </c>
      <c r="F36" s="249"/>
      <c r="G36" s="249">
        <f>H36/10.764</f>
        <v>32000.000000000004</v>
      </c>
      <c r="H36" s="249">
        <v>344448</v>
      </c>
      <c r="I36" s="246" t="s">
        <v>511</v>
      </c>
      <c r="J36" s="250" t="s">
        <v>24</v>
      </c>
      <c r="K36" s="251" t="s">
        <v>497</v>
      </c>
      <c r="L36" s="246" t="s">
        <v>26</v>
      </c>
      <c r="M36" s="251" t="s">
        <v>406</v>
      </c>
      <c r="N36" s="251" t="s">
        <v>454</v>
      </c>
      <c r="O36" s="249" t="s">
        <v>26</v>
      </c>
      <c r="P36" s="252"/>
      <c r="Q36" s="253" t="s">
        <v>494</v>
      </c>
      <c r="R36" s="162"/>
      <c r="S36" s="254" t="s">
        <v>481</v>
      </c>
      <c r="T36" s="249" t="s">
        <v>34</v>
      </c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</row>
    <row r="37" spans="1:58" s="256" customFormat="1" ht="13.5" customHeight="1" x14ac:dyDescent="0.35">
      <c r="A37" s="246">
        <v>2</v>
      </c>
      <c r="B37" s="247" t="s">
        <v>86</v>
      </c>
      <c r="C37" s="284" t="s">
        <v>488</v>
      </c>
      <c r="D37" s="248" t="s">
        <v>166</v>
      </c>
      <c r="E37" s="249" t="s">
        <v>167</v>
      </c>
      <c r="F37" s="249"/>
      <c r="G37" s="249">
        <f t="shared" ref="G37:G38" si="1">H37/10.764</f>
        <v>15811.965811965812</v>
      </c>
      <c r="H37" s="249">
        <v>170200</v>
      </c>
      <c r="I37" s="246" t="s">
        <v>165</v>
      </c>
      <c r="J37" s="250" t="s">
        <v>24</v>
      </c>
      <c r="K37" s="251" t="s">
        <v>497</v>
      </c>
      <c r="L37" s="246" t="s">
        <v>26</v>
      </c>
      <c r="M37" s="251" t="s">
        <v>26</v>
      </c>
      <c r="N37" s="251" t="s">
        <v>26</v>
      </c>
      <c r="O37" s="249" t="s">
        <v>26</v>
      </c>
      <c r="P37" s="252"/>
      <c r="Q37" s="253" t="s">
        <v>26</v>
      </c>
      <c r="R37" s="162"/>
      <c r="S37" s="254" t="s">
        <v>26</v>
      </c>
      <c r="T37" s="249" t="s">
        <v>34</v>
      </c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</row>
    <row r="38" spans="1:58" s="256" customFormat="1" ht="13.5" customHeight="1" x14ac:dyDescent="0.35">
      <c r="A38" s="246">
        <v>3</v>
      </c>
      <c r="B38" s="247" t="s">
        <v>86</v>
      </c>
      <c r="C38" s="284" t="s">
        <v>488</v>
      </c>
      <c r="D38" s="248" t="s">
        <v>166</v>
      </c>
      <c r="E38" s="249" t="s">
        <v>167</v>
      </c>
      <c r="F38" s="249"/>
      <c r="G38" s="249">
        <f t="shared" si="1"/>
        <v>15000.000000000002</v>
      </c>
      <c r="H38" s="249">
        <v>161460</v>
      </c>
      <c r="I38" s="246" t="s">
        <v>168</v>
      </c>
      <c r="J38" s="250" t="s">
        <v>24</v>
      </c>
      <c r="K38" s="251" t="s">
        <v>497</v>
      </c>
      <c r="L38" s="246" t="s">
        <v>26</v>
      </c>
      <c r="M38" s="251" t="s">
        <v>26</v>
      </c>
      <c r="N38" s="251" t="s">
        <v>26</v>
      </c>
      <c r="O38" s="249" t="s">
        <v>26</v>
      </c>
      <c r="P38" s="252"/>
      <c r="Q38" s="253" t="s">
        <v>26</v>
      </c>
      <c r="R38" s="162"/>
      <c r="S38" s="254" t="s">
        <v>26</v>
      </c>
      <c r="T38" s="249" t="s">
        <v>34</v>
      </c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55"/>
      <c r="BE38" s="255"/>
      <c r="BF38" s="255"/>
    </row>
    <row r="39" spans="1:58" s="12" customFormat="1" ht="12.75" customHeight="1" x14ac:dyDescent="0.45">
      <c r="A39" s="281" t="s">
        <v>87</v>
      </c>
      <c r="B39" s="282"/>
      <c r="C39" s="282"/>
      <c r="D39" s="282"/>
      <c r="E39" s="282"/>
      <c r="F39" s="283"/>
      <c r="G39" s="147">
        <f>SUM(G36:G38)</f>
        <v>62811.965811965812</v>
      </c>
      <c r="H39" s="147">
        <f>SUM(H36:H38)</f>
        <v>676108</v>
      </c>
      <c r="I39" s="147"/>
      <c r="J39" s="147"/>
      <c r="K39" s="155"/>
      <c r="L39" s="147"/>
      <c r="M39" s="155"/>
      <c r="N39" s="155"/>
      <c r="O39" s="155"/>
      <c r="P39" s="146"/>
      <c r="Q39" s="148"/>
      <c r="R39" s="146"/>
      <c r="S39" s="156"/>
      <c r="T39" s="148"/>
    </row>
    <row r="40" spans="1:58" s="17" customFormat="1" ht="17.25" customHeight="1" x14ac:dyDescent="0.45">
      <c r="A40" s="7"/>
      <c r="B40" s="170"/>
      <c r="C40" s="170"/>
      <c r="D40" s="170"/>
      <c r="E40" s="170"/>
      <c r="F40" s="7" t="s">
        <v>88</v>
      </c>
      <c r="G40" s="8">
        <f>SUM(G12+G15+G18+G21+G24+G27+G30+G34+G39)</f>
        <v>157510.77666295058</v>
      </c>
      <c r="H40" s="8">
        <f>SUM(H12+H15+H18+H21+H24+H27+H30+H34+H39)</f>
        <v>1695446</v>
      </c>
      <c r="I40" s="171"/>
      <c r="J40" s="172"/>
      <c r="K40" s="173"/>
      <c r="L40" s="171"/>
      <c r="M40" s="171"/>
      <c r="N40" s="174"/>
      <c r="O40" s="174"/>
      <c r="P40" s="174"/>
      <c r="Q40" s="171"/>
      <c r="R40" s="174"/>
      <c r="S40" s="171"/>
      <c r="T40" s="171"/>
    </row>
    <row r="42" spans="1:58" x14ac:dyDescent="0.45">
      <c r="J42" s="126"/>
    </row>
    <row r="45" spans="1:58" x14ac:dyDescent="0.45">
      <c r="C45" s="87"/>
      <c r="E45" s="87"/>
      <c r="F45" s="87"/>
      <c r="H45" s="97"/>
    </row>
    <row r="46" spans="1:58" x14ac:dyDescent="0.45">
      <c r="C46" s="87"/>
      <c r="E46" s="87"/>
      <c r="F46" s="87"/>
    </row>
    <row r="49" spans="5:8" x14ac:dyDescent="0.45">
      <c r="E49" s="114"/>
      <c r="F49" s="114"/>
    </row>
    <row r="51" spans="5:8" x14ac:dyDescent="0.45">
      <c r="E51" s="114"/>
      <c r="F51" s="114"/>
    </row>
    <row r="53" spans="5:8" x14ac:dyDescent="0.45">
      <c r="E53" s="114"/>
      <c r="F53" s="114"/>
      <c r="H53" s="97"/>
    </row>
  </sheetData>
  <autoFilter ref="A4:T40" xr:uid="{CFD705E7-85D7-4836-B708-667FA81B297A}"/>
  <mergeCells count="20">
    <mergeCell ref="A22:T22"/>
    <mergeCell ref="A25:T25"/>
    <mergeCell ref="A28:T28"/>
    <mergeCell ref="A31:T31"/>
    <mergeCell ref="A35:T35"/>
    <mergeCell ref="A39:F39"/>
    <mergeCell ref="A2:T2"/>
    <mergeCell ref="A3:T3"/>
    <mergeCell ref="A34:F34"/>
    <mergeCell ref="E30:F30"/>
    <mergeCell ref="A27:F27"/>
    <mergeCell ref="A24:F24"/>
    <mergeCell ref="A21:F21"/>
    <mergeCell ref="A18:F18"/>
    <mergeCell ref="A15:F15"/>
    <mergeCell ref="A12:F12"/>
    <mergeCell ref="A5:T5"/>
    <mergeCell ref="A13:T13"/>
    <mergeCell ref="A16:T16"/>
    <mergeCell ref="A19:T19"/>
  </mergeCells>
  <conditionalFormatting sqref="H6:H11">
    <cfRule type="top10" dxfId="13" priority="13" rank="1"/>
  </conditionalFormatting>
  <conditionalFormatting sqref="H23">
    <cfRule type="top10" dxfId="12" priority="15" rank="1"/>
  </conditionalFormatting>
  <conditionalFormatting sqref="H32:H33">
    <cfRule type="top10" dxfId="11" priority="18" rank="1"/>
  </conditionalFormatting>
  <conditionalFormatting sqref="H36:H38">
    <cfRule type="top10" dxfId="10" priority="1" rank="1"/>
  </conditionalFormatting>
  <conditionalFormatting sqref="H14">
    <cfRule type="top10" dxfId="9" priority="25" rank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7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92DD-58EB-44A2-9E17-E7794BDCBC32}">
  <sheetPr codeName="Hoja2"/>
  <dimension ref="A1:Q89"/>
  <sheetViews>
    <sheetView showWhiteSpace="0" topLeftCell="C38" zoomScale="116" zoomScaleNormal="100" zoomScaleSheetLayoutView="90" workbookViewId="0">
      <selection activeCell="A84" sqref="A84"/>
    </sheetView>
  </sheetViews>
  <sheetFormatPr baseColWidth="10" defaultColWidth="11.3984375" defaultRowHeight="15" customHeight="1" x14ac:dyDescent="0.45"/>
  <cols>
    <col min="1" max="1" width="3" customWidth="1"/>
    <col min="2" max="2" width="17.86328125" bestFit="1" customWidth="1"/>
    <col min="3" max="3" width="24.73046875" customWidth="1"/>
    <col min="4" max="4" width="40" customWidth="1"/>
    <col min="5" max="5" width="28" customWidth="1"/>
    <col min="6" max="6" width="16.73046875" bestFit="1" customWidth="1"/>
    <col min="7" max="7" width="21" customWidth="1"/>
    <col min="8" max="8" width="13.59765625" customWidth="1"/>
    <col min="9" max="9" width="18" customWidth="1"/>
    <col min="10" max="11" width="29.86328125" customWidth="1"/>
    <col min="12" max="12" width="11.1328125" customWidth="1"/>
  </cols>
  <sheetData>
    <row r="1" spans="1:17" s="20" customFormat="1" ht="21.75" x14ac:dyDescent="0.45">
      <c r="A1" s="231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18"/>
      <c r="N1" s="19"/>
      <c r="O1" s="19"/>
      <c r="P1" s="19"/>
      <c r="Q1" s="19"/>
    </row>
    <row r="2" spans="1:17" s="20" customFormat="1" ht="14.25" x14ac:dyDescent="0.45">
      <c r="A2" s="232" t="s">
        <v>89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19"/>
      <c r="N2" s="19"/>
      <c r="O2" s="19"/>
      <c r="P2" s="19"/>
      <c r="Q2" s="19"/>
    </row>
    <row r="3" spans="1:17" s="21" customFormat="1" ht="15" customHeight="1" x14ac:dyDescent="0.45">
      <c r="A3" s="77"/>
    </row>
    <row r="4" spans="1:17" s="118" customFormat="1" ht="15" customHeight="1" x14ac:dyDescent="0.45">
      <c r="A4" s="175"/>
      <c r="B4" s="7" t="s">
        <v>1</v>
      </c>
      <c r="C4" s="7" t="s">
        <v>90</v>
      </c>
      <c r="D4" s="7" t="s">
        <v>91</v>
      </c>
      <c r="E4" s="7" t="s">
        <v>92</v>
      </c>
      <c r="F4" s="7" t="s">
        <v>93</v>
      </c>
      <c r="G4" s="8" t="s">
        <v>94</v>
      </c>
      <c r="H4" s="7" t="s">
        <v>95</v>
      </c>
      <c r="I4" s="8" t="s">
        <v>96</v>
      </c>
      <c r="J4" s="8" t="s">
        <v>97</v>
      </c>
      <c r="K4" s="8" t="s">
        <v>98</v>
      </c>
      <c r="L4" s="7" t="s">
        <v>99</v>
      </c>
      <c r="M4" s="117"/>
      <c r="N4" s="117"/>
      <c r="O4" s="117"/>
      <c r="P4" s="117"/>
    </row>
    <row r="5" spans="1:17" s="20" customFormat="1" ht="15" customHeight="1" x14ac:dyDescent="0.45">
      <c r="A5" s="68"/>
      <c r="B5" s="227" t="s">
        <v>19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19"/>
      <c r="N5" s="19"/>
      <c r="O5" s="19"/>
      <c r="P5" s="19"/>
      <c r="Q5" s="19"/>
    </row>
    <row r="6" spans="1:17" s="12" customFormat="1" ht="14.25" customHeight="1" x14ac:dyDescent="0.35">
      <c r="A6" s="73">
        <v>1</v>
      </c>
      <c r="B6" s="137" t="s">
        <v>20</v>
      </c>
      <c r="C6" s="137" t="s">
        <v>433</v>
      </c>
      <c r="D6" s="219" t="s">
        <v>434</v>
      </c>
      <c r="E6" s="220" t="s">
        <v>435</v>
      </c>
      <c r="F6" s="72">
        <f t="shared" ref="F6:G8" si="0">H6/10.764</f>
        <v>58346.989966555186</v>
      </c>
      <c r="G6" s="72">
        <f t="shared" si="0"/>
        <v>31209.494611668528</v>
      </c>
      <c r="H6" s="72">
        <v>628047</v>
      </c>
      <c r="I6" s="72">
        <v>335939</v>
      </c>
      <c r="J6" s="176"/>
      <c r="K6" s="222"/>
      <c r="L6" s="73" t="s">
        <v>22</v>
      </c>
    </row>
    <row r="7" spans="1:17" s="12" customFormat="1" ht="14.25" customHeight="1" x14ac:dyDescent="0.35">
      <c r="A7" s="73">
        <v>2</v>
      </c>
      <c r="B7" s="137" t="s">
        <v>20</v>
      </c>
      <c r="C7" s="137" t="s">
        <v>426</v>
      </c>
      <c r="D7" s="219" t="s">
        <v>425</v>
      </c>
      <c r="E7" s="220" t="s">
        <v>424</v>
      </c>
      <c r="F7" s="72">
        <f t="shared" si="0"/>
        <v>12066.982534373839</v>
      </c>
      <c r="G7" s="72">
        <f t="shared" si="0"/>
        <v>12066.982534373839</v>
      </c>
      <c r="H7" s="72">
        <v>129889</v>
      </c>
      <c r="I7" s="72">
        <v>129889</v>
      </c>
      <c r="J7" s="176"/>
      <c r="K7" s="222"/>
      <c r="L7" s="73" t="s">
        <v>22</v>
      </c>
    </row>
    <row r="8" spans="1:17" s="12" customFormat="1" ht="14.25" customHeight="1" x14ac:dyDescent="0.35">
      <c r="A8" s="73">
        <v>3</v>
      </c>
      <c r="B8" s="137" t="s">
        <v>20</v>
      </c>
      <c r="C8" s="137" t="s">
        <v>221</v>
      </c>
      <c r="D8" s="219" t="s">
        <v>222</v>
      </c>
      <c r="E8" s="220" t="s">
        <v>28</v>
      </c>
      <c r="F8" s="72">
        <f t="shared" si="0"/>
        <v>19218.50613154961</v>
      </c>
      <c r="G8" s="72">
        <f t="shared" si="0"/>
        <v>19218.50613154961</v>
      </c>
      <c r="H8" s="72">
        <v>206868</v>
      </c>
      <c r="I8" s="72">
        <v>206868</v>
      </c>
      <c r="J8" s="176"/>
      <c r="K8" s="222" t="s">
        <v>223</v>
      </c>
      <c r="L8" s="73" t="s">
        <v>22</v>
      </c>
    </row>
    <row r="9" spans="1:17" s="12" customFormat="1" ht="14.25" customHeight="1" x14ac:dyDescent="0.35">
      <c r="A9" s="73">
        <v>4</v>
      </c>
      <c r="B9" s="137" t="s">
        <v>20</v>
      </c>
      <c r="C9" s="137" t="s">
        <v>224</v>
      </c>
      <c r="D9" s="219" t="s">
        <v>222</v>
      </c>
      <c r="E9" s="220" t="s">
        <v>28</v>
      </c>
      <c r="F9" s="72">
        <f t="shared" ref="F9:F10" si="1">H9/10.764</f>
        <v>15566.053511705686</v>
      </c>
      <c r="G9" s="72">
        <f t="shared" ref="G9:G10" si="2">I9/10.764</f>
        <v>15566.053511705686</v>
      </c>
      <c r="H9" s="72">
        <v>167553</v>
      </c>
      <c r="I9" s="72">
        <v>167553</v>
      </c>
      <c r="J9" s="176"/>
      <c r="K9" s="222" t="s">
        <v>225</v>
      </c>
      <c r="L9" s="73" t="s">
        <v>22</v>
      </c>
    </row>
    <row r="10" spans="1:17" s="12" customFormat="1" ht="14.25" customHeight="1" x14ac:dyDescent="0.35">
      <c r="A10" s="73">
        <v>5</v>
      </c>
      <c r="B10" s="137" t="s">
        <v>20</v>
      </c>
      <c r="C10" s="137" t="s">
        <v>226</v>
      </c>
      <c r="D10" s="219" t="s">
        <v>222</v>
      </c>
      <c r="E10" s="220" t="s">
        <v>28</v>
      </c>
      <c r="F10" s="72">
        <f t="shared" si="1"/>
        <v>13617.521367521369</v>
      </c>
      <c r="G10" s="72">
        <f t="shared" si="2"/>
        <v>13617.521367521369</v>
      </c>
      <c r="H10" s="72">
        <v>146579</v>
      </c>
      <c r="I10" s="72">
        <v>146579</v>
      </c>
      <c r="J10" s="176"/>
      <c r="K10" s="222" t="s">
        <v>227</v>
      </c>
      <c r="L10" s="73" t="s">
        <v>22</v>
      </c>
    </row>
    <row r="11" spans="1:17" s="12" customFormat="1" ht="14.25" customHeight="1" x14ac:dyDescent="0.45">
      <c r="A11" s="73">
        <v>6</v>
      </c>
      <c r="B11" s="137" t="s">
        <v>20</v>
      </c>
      <c r="C11" s="137" t="s">
        <v>101</v>
      </c>
      <c r="D11" s="219" t="s">
        <v>102</v>
      </c>
      <c r="E11" s="220" t="s">
        <v>103</v>
      </c>
      <c r="F11" s="72">
        <f t="shared" ref="F11:F24" si="3">H11/10.764</f>
        <v>25539.762170196955</v>
      </c>
      <c r="G11" s="72">
        <f t="shared" ref="G11:G15" si="4">I11/10.764</f>
        <v>25539.762170196955</v>
      </c>
      <c r="H11" s="72">
        <v>274910</v>
      </c>
      <c r="I11" s="72">
        <v>274910</v>
      </c>
      <c r="J11" s="176"/>
      <c r="K11" s="223" t="s">
        <v>104</v>
      </c>
      <c r="L11" s="73" t="s">
        <v>22</v>
      </c>
    </row>
    <row r="12" spans="1:17" s="12" customFormat="1" ht="14.25" customHeight="1" x14ac:dyDescent="0.45">
      <c r="A12" s="73">
        <v>7</v>
      </c>
      <c r="B12" s="137" t="s">
        <v>20</v>
      </c>
      <c r="C12" s="137" t="s">
        <v>105</v>
      </c>
      <c r="D12" s="219" t="s">
        <v>106</v>
      </c>
      <c r="E12" s="220" t="s">
        <v>48</v>
      </c>
      <c r="F12" s="72">
        <f t="shared" si="3"/>
        <v>6092.9022668153102</v>
      </c>
      <c r="G12" s="72">
        <f t="shared" si="4"/>
        <v>6092.9022668153102</v>
      </c>
      <c r="H12" s="72">
        <v>65584</v>
      </c>
      <c r="I12" s="72">
        <v>65584</v>
      </c>
      <c r="J12" s="176"/>
      <c r="K12" s="176"/>
      <c r="L12" s="73" t="s">
        <v>22</v>
      </c>
    </row>
    <row r="13" spans="1:17" s="12" customFormat="1" ht="14.25" customHeight="1" x14ac:dyDescent="0.35">
      <c r="A13" s="73">
        <v>8</v>
      </c>
      <c r="B13" s="137" t="s">
        <v>20</v>
      </c>
      <c r="C13" s="137" t="s">
        <v>107</v>
      </c>
      <c r="D13" s="219" t="s">
        <v>108</v>
      </c>
      <c r="E13" s="220" t="s">
        <v>31</v>
      </c>
      <c r="F13" s="72">
        <f>H13/10.764</f>
        <v>18550.817539947977</v>
      </c>
      <c r="G13" s="72">
        <f t="shared" ref="G13:G14" si="5">I13/10.764</f>
        <v>18550.817539947977</v>
      </c>
      <c r="H13" s="72">
        <v>199681</v>
      </c>
      <c r="I13" s="72">
        <v>199681</v>
      </c>
      <c r="J13" s="176"/>
      <c r="K13" s="224" t="s">
        <v>109</v>
      </c>
      <c r="L13" s="73" t="s">
        <v>22</v>
      </c>
    </row>
    <row r="14" spans="1:17" s="255" customFormat="1" ht="14.25" customHeight="1" x14ac:dyDescent="0.35">
      <c r="A14" s="246">
        <v>9</v>
      </c>
      <c r="B14" s="247" t="s">
        <v>20</v>
      </c>
      <c r="C14" s="247" t="s">
        <v>470</v>
      </c>
      <c r="D14" s="264" t="s">
        <v>471</v>
      </c>
      <c r="E14" s="265" t="s">
        <v>31</v>
      </c>
      <c r="F14" s="249">
        <f>H14/10.764</f>
        <v>12493.86845039019</v>
      </c>
      <c r="G14" s="249">
        <f t="shared" si="5"/>
        <v>6246.9342251950948</v>
      </c>
      <c r="H14" s="249">
        <v>134484</v>
      </c>
      <c r="I14" s="249">
        <v>67242</v>
      </c>
      <c r="J14" s="266"/>
      <c r="K14" s="224"/>
      <c r="L14" s="246" t="s">
        <v>34</v>
      </c>
    </row>
    <row r="15" spans="1:17" s="255" customFormat="1" ht="14.25" customHeight="1" x14ac:dyDescent="0.45">
      <c r="A15" s="246">
        <v>10</v>
      </c>
      <c r="B15" s="247" t="s">
        <v>20</v>
      </c>
      <c r="C15" s="247" t="s">
        <v>188</v>
      </c>
      <c r="D15" s="264" t="s">
        <v>402</v>
      </c>
      <c r="E15" s="265" t="s">
        <v>113</v>
      </c>
      <c r="F15" s="249">
        <f t="shared" si="3"/>
        <v>12535.488665923449</v>
      </c>
      <c r="G15" s="249">
        <f t="shared" si="4"/>
        <v>12535.488665923449</v>
      </c>
      <c r="H15" s="249">
        <v>134932</v>
      </c>
      <c r="I15" s="249">
        <v>134932</v>
      </c>
      <c r="J15" s="249" t="s">
        <v>116</v>
      </c>
      <c r="K15" s="266"/>
      <c r="L15" s="246" t="s">
        <v>34</v>
      </c>
    </row>
    <row r="16" spans="1:17" s="255" customFormat="1" ht="14.1" customHeight="1" x14ac:dyDescent="0.45">
      <c r="A16" s="246">
        <v>11</v>
      </c>
      <c r="B16" s="247" t="s">
        <v>20</v>
      </c>
      <c r="C16" s="247" t="s">
        <v>114</v>
      </c>
      <c r="D16" s="264" t="s">
        <v>115</v>
      </c>
      <c r="E16" s="265" t="s">
        <v>33</v>
      </c>
      <c r="F16" s="249">
        <f>H16/10.764</f>
        <v>11718.691936083242</v>
      </c>
      <c r="G16" s="249">
        <f>I16/10.764</f>
        <v>7029.9145299145302</v>
      </c>
      <c r="H16" s="249">
        <v>126140</v>
      </c>
      <c r="I16" s="249">
        <v>75670</v>
      </c>
      <c r="J16" s="249" t="s">
        <v>116</v>
      </c>
      <c r="K16" s="249"/>
      <c r="L16" s="246" t="s">
        <v>34</v>
      </c>
    </row>
    <row r="17" spans="1:17" s="255" customFormat="1" ht="13.15" x14ac:dyDescent="0.35">
      <c r="A17" s="246">
        <v>12</v>
      </c>
      <c r="B17" s="247" t="s">
        <v>20</v>
      </c>
      <c r="C17" s="267" t="s">
        <v>119</v>
      </c>
      <c r="D17" s="267" t="s">
        <v>118</v>
      </c>
      <c r="E17" s="246" t="s">
        <v>38</v>
      </c>
      <c r="F17" s="249">
        <f t="shared" si="3"/>
        <v>4366.4065403195837</v>
      </c>
      <c r="G17" s="249">
        <f>H17/10.764</f>
        <v>4366.4065403195837</v>
      </c>
      <c r="H17" s="249">
        <v>47000</v>
      </c>
      <c r="I17" s="249">
        <v>47000</v>
      </c>
      <c r="J17" s="249"/>
      <c r="K17" s="224" t="s">
        <v>120</v>
      </c>
      <c r="L17" s="246" t="s">
        <v>34</v>
      </c>
      <c r="M17" s="268"/>
    </row>
    <row r="18" spans="1:17" s="255" customFormat="1" ht="13.15" x14ac:dyDescent="0.35">
      <c r="A18" s="246">
        <v>13</v>
      </c>
      <c r="B18" s="247" t="s">
        <v>20</v>
      </c>
      <c r="C18" s="267" t="s">
        <v>121</v>
      </c>
      <c r="D18" s="267" t="s">
        <v>37</v>
      </c>
      <c r="E18" s="246" t="s">
        <v>38</v>
      </c>
      <c r="F18" s="249">
        <f t="shared" ref="F18:G19" si="6">H18/10.764</f>
        <v>22606.837606837609</v>
      </c>
      <c r="G18" s="249">
        <f t="shared" si="6"/>
        <v>11303.418803418805</v>
      </c>
      <c r="H18" s="249">
        <v>243340</v>
      </c>
      <c r="I18" s="249">
        <v>121670</v>
      </c>
      <c r="J18" s="249"/>
      <c r="K18" s="224" t="s">
        <v>122</v>
      </c>
      <c r="L18" s="246" t="s">
        <v>22</v>
      </c>
      <c r="M18" s="268"/>
    </row>
    <row r="19" spans="1:17" s="255" customFormat="1" ht="13.15" x14ac:dyDescent="0.35">
      <c r="A19" s="246">
        <v>14</v>
      </c>
      <c r="B19" s="247" t="s">
        <v>20</v>
      </c>
      <c r="C19" s="269" t="s">
        <v>123</v>
      </c>
      <c r="D19" s="269" t="s">
        <v>40</v>
      </c>
      <c r="E19" s="270" t="s">
        <v>39</v>
      </c>
      <c r="F19" s="271">
        <f t="shared" si="6"/>
        <v>6740.9884801189155</v>
      </c>
      <c r="G19" s="272">
        <f t="shared" si="6"/>
        <v>6740.9884801189155</v>
      </c>
      <c r="H19" s="271">
        <v>72560</v>
      </c>
      <c r="I19" s="271">
        <v>72560</v>
      </c>
      <c r="J19" s="248" t="s">
        <v>124</v>
      </c>
      <c r="K19" s="248" t="s">
        <v>410</v>
      </c>
      <c r="L19" s="270" t="s">
        <v>22</v>
      </c>
    </row>
    <row r="20" spans="1:17" s="255" customFormat="1" ht="13.15" x14ac:dyDescent="0.35">
      <c r="A20" s="246">
        <v>15</v>
      </c>
      <c r="B20" s="247" t="s">
        <v>20</v>
      </c>
      <c r="C20" s="267" t="s">
        <v>125</v>
      </c>
      <c r="D20" s="247" t="s">
        <v>126</v>
      </c>
      <c r="E20" s="246" t="s">
        <v>43</v>
      </c>
      <c r="F20" s="249">
        <f t="shared" si="3"/>
        <v>10799.981419546637</v>
      </c>
      <c r="G20" s="249">
        <f>I20/10.764</f>
        <v>1672.2408026755854</v>
      </c>
      <c r="H20" s="249">
        <v>116251</v>
      </c>
      <c r="I20" s="249">
        <v>18000</v>
      </c>
      <c r="J20" s="249"/>
      <c r="K20" s="249"/>
      <c r="L20" s="246" t="s">
        <v>34</v>
      </c>
      <c r="M20" s="268"/>
    </row>
    <row r="21" spans="1:17" s="255" customFormat="1" ht="13.15" x14ac:dyDescent="0.35">
      <c r="A21" s="246">
        <v>16</v>
      </c>
      <c r="B21" s="247" t="s">
        <v>20</v>
      </c>
      <c r="C21" s="267" t="s">
        <v>127</v>
      </c>
      <c r="D21" s="267" t="s">
        <v>128</v>
      </c>
      <c r="E21" s="246" t="s">
        <v>44</v>
      </c>
      <c r="F21" s="249">
        <f t="shared" si="3"/>
        <v>20647.900408769976</v>
      </c>
      <c r="G21" s="249">
        <f>I21/10.764</f>
        <v>20647.900408769976</v>
      </c>
      <c r="H21" s="249">
        <v>222254</v>
      </c>
      <c r="I21" s="249">
        <v>222254</v>
      </c>
      <c r="J21" s="249"/>
      <c r="K21" s="224" t="s">
        <v>129</v>
      </c>
      <c r="L21" s="246" t="s">
        <v>22</v>
      </c>
      <c r="M21" s="268"/>
    </row>
    <row r="22" spans="1:17" s="255" customFormat="1" ht="13.15" x14ac:dyDescent="0.35">
      <c r="A22" s="246">
        <v>17</v>
      </c>
      <c r="B22" s="247" t="s">
        <v>20</v>
      </c>
      <c r="C22" s="267" t="s">
        <v>246</v>
      </c>
      <c r="D22" s="267" t="s">
        <v>128</v>
      </c>
      <c r="E22" s="246" t="s">
        <v>44</v>
      </c>
      <c r="F22" s="249">
        <f t="shared" si="3"/>
        <v>10421.033073206987</v>
      </c>
      <c r="G22" s="249">
        <f>I22/10.764</f>
        <v>10421.033073206987</v>
      </c>
      <c r="H22" s="249">
        <v>112172</v>
      </c>
      <c r="I22" s="249">
        <v>112172</v>
      </c>
      <c r="J22" s="249"/>
      <c r="K22" s="224" t="s">
        <v>247</v>
      </c>
      <c r="L22" s="246" t="s">
        <v>22</v>
      </c>
      <c r="M22" s="268"/>
    </row>
    <row r="23" spans="1:17" s="255" customFormat="1" ht="13.15" x14ac:dyDescent="0.35">
      <c r="A23" s="246">
        <v>18</v>
      </c>
      <c r="B23" s="247" t="s">
        <v>20</v>
      </c>
      <c r="C23" s="267" t="s">
        <v>248</v>
      </c>
      <c r="D23" s="267" t="s">
        <v>128</v>
      </c>
      <c r="E23" s="246" t="s">
        <v>44</v>
      </c>
      <c r="F23" s="249">
        <f t="shared" si="3"/>
        <v>18051.003344481607</v>
      </c>
      <c r="G23" s="249">
        <f>I23/10.764</f>
        <v>18051.003344481607</v>
      </c>
      <c r="H23" s="249">
        <v>194301</v>
      </c>
      <c r="I23" s="249">
        <v>194301</v>
      </c>
      <c r="J23" s="249"/>
      <c r="K23" s="224" t="s">
        <v>249</v>
      </c>
      <c r="L23" s="246" t="s">
        <v>22</v>
      </c>
      <c r="M23" s="268"/>
    </row>
    <row r="24" spans="1:17" s="255" customFormat="1" ht="14.25" customHeight="1" x14ac:dyDescent="0.35">
      <c r="A24" s="246">
        <v>19</v>
      </c>
      <c r="B24" s="247" t="s">
        <v>20</v>
      </c>
      <c r="C24" s="273" t="s">
        <v>130</v>
      </c>
      <c r="D24" s="267" t="s">
        <v>131</v>
      </c>
      <c r="E24" s="246" t="s">
        <v>44</v>
      </c>
      <c r="F24" s="249">
        <f t="shared" si="3"/>
        <v>13477.982162764773</v>
      </c>
      <c r="G24" s="249">
        <f>I24/10.764</f>
        <v>13477.982162764773</v>
      </c>
      <c r="H24" s="249">
        <v>145077</v>
      </c>
      <c r="I24" s="249">
        <v>145077</v>
      </c>
      <c r="J24" s="249"/>
      <c r="K24" s="224"/>
      <c r="L24" s="246" t="s">
        <v>22</v>
      </c>
      <c r="M24" s="268"/>
    </row>
    <row r="25" spans="1:17" s="255" customFormat="1" ht="13.15" x14ac:dyDescent="0.45">
      <c r="A25" s="246"/>
      <c r="B25" s="274" t="s">
        <v>45</v>
      </c>
      <c r="C25" s="274"/>
      <c r="D25" s="274"/>
      <c r="E25" s="274"/>
      <c r="F25" s="274"/>
      <c r="G25" s="274"/>
      <c r="H25" s="274"/>
      <c r="I25" s="275">
        <f>SUM(I6:I24)</f>
        <v>2737881</v>
      </c>
      <c r="J25" s="275"/>
      <c r="K25" s="275"/>
      <c r="L25" s="246"/>
      <c r="M25" s="268"/>
      <c r="N25" s="268"/>
      <c r="O25" s="268"/>
      <c r="P25" s="268"/>
      <c r="Q25" s="268"/>
    </row>
    <row r="26" spans="1:17" s="20" customFormat="1" ht="15" customHeight="1" x14ac:dyDescent="0.45">
      <c r="A26" s="68"/>
      <c r="B26" s="227" t="s">
        <v>65</v>
      </c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19"/>
      <c r="N26" s="19"/>
      <c r="O26" s="19"/>
      <c r="P26" s="19"/>
      <c r="Q26" s="19"/>
    </row>
    <row r="27" spans="1:17" s="262" customFormat="1" ht="13.15" x14ac:dyDescent="0.35">
      <c r="A27" s="246">
        <v>1</v>
      </c>
      <c r="B27" s="247" t="s">
        <v>66</v>
      </c>
      <c r="C27" s="247" t="s">
        <v>132</v>
      </c>
      <c r="D27" s="247" t="s">
        <v>133</v>
      </c>
      <c r="E27" s="246" t="s">
        <v>134</v>
      </c>
      <c r="F27" s="249">
        <f>G27</f>
        <v>18000</v>
      </c>
      <c r="G27" s="249">
        <f>H27/10.764</f>
        <v>18000</v>
      </c>
      <c r="H27" s="249">
        <v>193752</v>
      </c>
      <c r="I27" s="249">
        <v>193752</v>
      </c>
      <c r="J27" s="249"/>
      <c r="K27" s="225" t="s">
        <v>136</v>
      </c>
      <c r="L27" s="249" t="s">
        <v>22</v>
      </c>
      <c r="M27" s="276"/>
      <c r="N27" s="277"/>
      <c r="O27" s="277"/>
      <c r="P27" s="277"/>
    </row>
    <row r="28" spans="1:17" s="262" customFormat="1" ht="13.15" x14ac:dyDescent="0.35">
      <c r="A28" s="246">
        <v>2</v>
      </c>
      <c r="B28" s="247" t="s">
        <v>66</v>
      </c>
      <c r="C28" s="247" t="s">
        <v>52</v>
      </c>
      <c r="D28" s="247" t="s">
        <v>137</v>
      </c>
      <c r="E28" s="246" t="s">
        <v>32</v>
      </c>
      <c r="F28" s="249">
        <f>H28/10.764</f>
        <v>13900.037160906728</v>
      </c>
      <c r="G28" s="249">
        <f>I28/10.764</f>
        <v>4299.981419546637</v>
      </c>
      <c r="H28" s="249">
        <v>149620</v>
      </c>
      <c r="I28" s="249">
        <v>46285</v>
      </c>
      <c r="J28" s="249"/>
      <c r="K28" s="224" t="s">
        <v>138</v>
      </c>
      <c r="L28" s="249" t="s">
        <v>22</v>
      </c>
      <c r="M28" s="276"/>
      <c r="N28" s="277"/>
      <c r="O28" s="277"/>
      <c r="P28" s="277"/>
    </row>
    <row r="29" spans="1:17" s="255" customFormat="1" ht="13.15" x14ac:dyDescent="0.45">
      <c r="A29" s="246">
        <v>3</v>
      </c>
      <c r="B29" s="247" t="s">
        <v>66</v>
      </c>
      <c r="C29" s="247" t="s">
        <v>139</v>
      </c>
      <c r="D29" s="247" t="s">
        <v>140</v>
      </c>
      <c r="E29" s="246" t="s">
        <v>141</v>
      </c>
      <c r="F29" s="249">
        <f t="shared" ref="F29:G34" si="7">H29/10.764</f>
        <v>2574.0431066518026</v>
      </c>
      <c r="G29" s="249">
        <f t="shared" si="7"/>
        <v>2574.0431066518026</v>
      </c>
      <c r="H29" s="249">
        <v>27707</v>
      </c>
      <c r="I29" s="249">
        <v>27707</v>
      </c>
      <c r="J29" s="257"/>
      <c r="K29" s="257"/>
      <c r="L29" s="249" t="s">
        <v>34</v>
      </c>
      <c r="M29" s="268"/>
      <c r="N29" s="268"/>
      <c r="O29" s="268"/>
      <c r="P29" s="268"/>
      <c r="Q29" s="268"/>
    </row>
    <row r="30" spans="1:17" s="255" customFormat="1" ht="13.15" x14ac:dyDescent="0.45">
      <c r="A30" s="246">
        <v>4</v>
      </c>
      <c r="B30" s="247" t="s">
        <v>66</v>
      </c>
      <c r="C30" s="247" t="s">
        <v>142</v>
      </c>
      <c r="D30" s="247" t="s">
        <v>140</v>
      </c>
      <c r="E30" s="246" t="s">
        <v>141</v>
      </c>
      <c r="F30" s="249">
        <f t="shared" si="7"/>
        <v>2979.00408769974</v>
      </c>
      <c r="G30" s="249">
        <f t="shared" si="7"/>
        <v>2979.00408769974</v>
      </c>
      <c r="H30" s="249">
        <v>32066</v>
      </c>
      <c r="I30" s="249">
        <v>32066</v>
      </c>
      <c r="J30" s="257"/>
      <c r="K30" s="257"/>
      <c r="L30" s="249" t="s">
        <v>34</v>
      </c>
      <c r="M30" s="268"/>
      <c r="N30" s="268"/>
      <c r="O30" s="268"/>
      <c r="P30" s="268"/>
      <c r="Q30" s="268"/>
    </row>
    <row r="31" spans="1:17" s="12" customFormat="1" ht="13.15" x14ac:dyDescent="0.45">
      <c r="A31" s="73">
        <v>5</v>
      </c>
      <c r="B31" s="137" t="s">
        <v>66</v>
      </c>
      <c r="C31" s="137" t="s">
        <v>143</v>
      </c>
      <c r="D31" s="137" t="s">
        <v>144</v>
      </c>
      <c r="E31" s="73" t="s">
        <v>145</v>
      </c>
      <c r="F31" s="72">
        <f t="shared" si="7"/>
        <v>18586.956521739132</v>
      </c>
      <c r="G31" s="72">
        <f t="shared" si="7"/>
        <v>2799.981419546637</v>
      </c>
      <c r="H31" s="72">
        <v>200070</v>
      </c>
      <c r="I31" s="72">
        <v>30139</v>
      </c>
      <c r="J31" s="177"/>
      <c r="K31" s="177"/>
      <c r="L31" s="72" t="s">
        <v>22</v>
      </c>
      <c r="M31" s="75"/>
      <c r="N31" s="75"/>
      <c r="O31" s="75"/>
      <c r="P31" s="75"/>
      <c r="Q31" s="75"/>
    </row>
    <row r="32" spans="1:17" s="93" customFormat="1" ht="13.15" x14ac:dyDescent="0.35">
      <c r="A32" s="73">
        <v>6</v>
      </c>
      <c r="B32" s="137" t="s">
        <v>66</v>
      </c>
      <c r="C32" s="137" t="s">
        <v>294</v>
      </c>
      <c r="D32" s="137" t="s">
        <v>295</v>
      </c>
      <c r="E32" s="73" t="s">
        <v>56</v>
      </c>
      <c r="F32" s="72">
        <f>H32/10.764</f>
        <v>20239.966555183946</v>
      </c>
      <c r="G32" s="72">
        <f>I32/10.764</f>
        <v>20239.966555183946</v>
      </c>
      <c r="H32" s="72">
        <v>217863</v>
      </c>
      <c r="I32" s="72">
        <v>217863</v>
      </c>
      <c r="J32" s="72"/>
      <c r="K32" s="225"/>
      <c r="L32" s="72" t="s">
        <v>22</v>
      </c>
      <c r="M32" s="101"/>
      <c r="N32" s="92"/>
      <c r="O32" s="92"/>
      <c r="P32" s="92"/>
    </row>
    <row r="33" spans="1:17" s="12" customFormat="1" ht="13.15" x14ac:dyDescent="0.45">
      <c r="A33" s="73">
        <v>7</v>
      </c>
      <c r="B33" s="137" t="s">
        <v>66</v>
      </c>
      <c r="C33" s="137" t="s">
        <v>394</v>
      </c>
      <c r="D33" s="137" t="s">
        <v>295</v>
      </c>
      <c r="E33" s="73" t="s">
        <v>56</v>
      </c>
      <c r="F33" s="72">
        <f>H33/10.764</f>
        <v>20062.987736900781</v>
      </c>
      <c r="G33" s="72">
        <f>I33/10.764</f>
        <v>20062.987736900781</v>
      </c>
      <c r="H33" s="72">
        <v>215958</v>
      </c>
      <c r="I33" s="72">
        <v>215958</v>
      </c>
      <c r="J33" s="177"/>
      <c r="K33" s="177"/>
      <c r="L33" s="72" t="s">
        <v>22</v>
      </c>
      <c r="M33" s="75"/>
      <c r="N33" s="75"/>
      <c r="O33" s="75"/>
      <c r="P33" s="75"/>
      <c r="Q33" s="75"/>
    </row>
    <row r="34" spans="1:17" s="100" customFormat="1" ht="13.15" x14ac:dyDescent="0.45">
      <c r="A34" s="73">
        <v>8</v>
      </c>
      <c r="B34" s="137" t="s">
        <v>66</v>
      </c>
      <c r="C34" s="137" t="s">
        <v>146</v>
      </c>
      <c r="D34" s="137" t="s">
        <v>23</v>
      </c>
      <c r="E34" s="73" t="s">
        <v>147</v>
      </c>
      <c r="F34" s="72">
        <f t="shared" si="7"/>
        <v>7773.9687848383501</v>
      </c>
      <c r="G34" s="72">
        <f t="shared" si="7"/>
        <v>7773.9687848383501</v>
      </c>
      <c r="H34" s="72">
        <v>83679</v>
      </c>
      <c r="I34" s="72">
        <v>83679</v>
      </c>
      <c r="J34" s="177"/>
      <c r="K34" s="177"/>
      <c r="L34" s="72" t="s">
        <v>22</v>
      </c>
      <c r="M34" s="75"/>
      <c r="N34" s="75"/>
      <c r="O34" s="75"/>
      <c r="P34" s="75"/>
      <c r="Q34" s="75"/>
    </row>
    <row r="35" spans="1:17" s="100" customFormat="1" ht="13.15" x14ac:dyDescent="0.35">
      <c r="A35" s="73">
        <v>9</v>
      </c>
      <c r="B35" s="137" t="s">
        <v>66</v>
      </c>
      <c r="C35" s="137" t="s">
        <v>148</v>
      </c>
      <c r="D35" s="137" t="s">
        <v>68</v>
      </c>
      <c r="E35" s="73" t="s">
        <v>44</v>
      </c>
      <c r="F35" s="72">
        <f>H35/10.764</f>
        <v>6659.420289855073</v>
      </c>
      <c r="G35" s="72">
        <f>I35/10.764</f>
        <v>6659.420289855073</v>
      </c>
      <c r="H35" s="72">
        <v>71682</v>
      </c>
      <c r="I35" s="72">
        <v>71682</v>
      </c>
      <c r="J35" s="177"/>
      <c r="K35" s="226" t="s">
        <v>149</v>
      </c>
      <c r="L35" s="72" t="s">
        <v>22</v>
      </c>
      <c r="M35" s="75"/>
      <c r="N35" s="75"/>
      <c r="O35" s="75"/>
      <c r="P35" s="75"/>
      <c r="Q35" s="75"/>
    </row>
    <row r="36" spans="1:17" s="12" customFormat="1" ht="13.15" x14ac:dyDescent="0.45">
      <c r="A36" s="73"/>
      <c r="B36" s="228" t="s">
        <v>70</v>
      </c>
      <c r="C36" s="228"/>
      <c r="D36" s="228"/>
      <c r="E36" s="228"/>
      <c r="F36" s="228"/>
      <c r="G36" s="228"/>
      <c r="H36" s="228"/>
      <c r="I36" s="147">
        <f>SUM(I27:I35)</f>
        <v>919131</v>
      </c>
      <c r="J36" s="147"/>
      <c r="K36" s="147"/>
      <c r="L36" s="73"/>
    </row>
    <row r="37" spans="1:17" s="20" customFormat="1" ht="15" customHeight="1" x14ac:dyDescent="0.45">
      <c r="A37" s="68"/>
      <c r="B37" s="227" t="s">
        <v>61</v>
      </c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19"/>
      <c r="N37" s="19"/>
      <c r="O37" s="19"/>
      <c r="P37" s="19"/>
      <c r="Q37" s="19"/>
    </row>
    <row r="38" spans="1:17" s="12" customFormat="1" ht="14.1" customHeight="1" x14ac:dyDescent="0.35">
      <c r="A38" s="73">
        <v>1</v>
      </c>
      <c r="B38" s="137" t="s">
        <v>62</v>
      </c>
      <c r="C38" s="137" t="s">
        <v>150</v>
      </c>
      <c r="D38" s="137" t="s">
        <v>151</v>
      </c>
      <c r="E38" s="73" t="s">
        <v>152</v>
      </c>
      <c r="F38" s="72">
        <f t="shared" ref="F38:G40" si="8">H38/10.764</f>
        <v>15750.000000000002</v>
      </c>
      <c r="G38" s="72">
        <f t="shared" si="8"/>
        <v>10150.966183574879</v>
      </c>
      <c r="H38" s="72">
        <v>169533</v>
      </c>
      <c r="I38" s="72">
        <v>109265</v>
      </c>
      <c r="J38" s="72"/>
      <c r="K38" s="226" t="s">
        <v>153</v>
      </c>
      <c r="L38" s="73" t="s">
        <v>22</v>
      </c>
    </row>
    <row r="39" spans="1:17" s="12" customFormat="1" ht="14.1" customHeight="1" x14ac:dyDescent="0.35">
      <c r="A39" s="73">
        <v>2</v>
      </c>
      <c r="B39" s="137" t="s">
        <v>62</v>
      </c>
      <c r="C39" s="137" t="s">
        <v>508</v>
      </c>
      <c r="D39" s="137" t="s">
        <v>63</v>
      </c>
      <c r="E39" s="73" t="s">
        <v>41</v>
      </c>
      <c r="F39" s="72">
        <f t="shared" si="8"/>
        <v>7900.2229654403573</v>
      </c>
      <c r="G39" s="72">
        <f t="shared" si="8"/>
        <v>1620.4942400594575</v>
      </c>
      <c r="H39" s="72">
        <v>85038</v>
      </c>
      <c r="I39" s="72">
        <v>17443</v>
      </c>
      <c r="J39" s="176"/>
      <c r="K39" s="226" t="s">
        <v>154</v>
      </c>
      <c r="L39" s="73" t="s">
        <v>22</v>
      </c>
    </row>
    <row r="40" spans="1:17" s="12" customFormat="1" ht="14.1" customHeight="1" x14ac:dyDescent="0.35">
      <c r="A40" s="73">
        <v>3</v>
      </c>
      <c r="B40" s="137" t="s">
        <v>62</v>
      </c>
      <c r="C40" s="137" t="s">
        <v>155</v>
      </c>
      <c r="D40" s="137" t="s">
        <v>156</v>
      </c>
      <c r="E40" s="73" t="s">
        <v>44</v>
      </c>
      <c r="F40" s="72">
        <f t="shared" si="8"/>
        <v>15502.97287253809</v>
      </c>
      <c r="G40" s="72">
        <f t="shared" si="8"/>
        <v>15502.97287253809</v>
      </c>
      <c r="H40" s="72">
        <v>166874</v>
      </c>
      <c r="I40" s="72">
        <v>166874</v>
      </c>
      <c r="J40" s="176"/>
      <c r="K40" s="226" t="s">
        <v>157</v>
      </c>
      <c r="L40" s="73" t="s">
        <v>22</v>
      </c>
    </row>
    <row r="41" spans="1:17" s="12" customFormat="1" ht="14.1" customHeight="1" x14ac:dyDescent="0.45">
      <c r="A41" s="73"/>
      <c r="B41" s="228" t="s">
        <v>64</v>
      </c>
      <c r="C41" s="228"/>
      <c r="D41" s="228"/>
      <c r="E41" s="228"/>
      <c r="F41" s="228"/>
      <c r="G41" s="228"/>
      <c r="H41" s="228"/>
      <c r="I41" s="147">
        <f>SUM(I38:I40)</f>
        <v>293582</v>
      </c>
      <c r="J41" s="147"/>
      <c r="K41" s="147"/>
      <c r="L41" s="73"/>
      <c r="M41" s="75"/>
      <c r="N41" s="75"/>
      <c r="O41" s="75"/>
      <c r="P41" s="75"/>
      <c r="Q41" s="75"/>
    </row>
    <row r="42" spans="1:17" s="20" customFormat="1" ht="15" customHeight="1" x14ac:dyDescent="0.45">
      <c r="A42" s="68"/>
      <c r="B42" s="227" t="s">
        <v>46</v>
      </c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19"/>
      <c r="N42" s="19"/>
      <c r="O42" s="19"/>
      <c r="P42" s="19"/>
      <c r="Q42" s="19"/>
    </row>
    <row r="43" spans="1:17" s="255" customFormat="1" ht="14.1" customHeight="1" x14ac:dyDescent="0.45">
      <c r="A43" s="246">
        <v>1</v>
      </c>
      <c r="B43" s="247" t="s">
        <v>47</v>
      </c>
      <c r="C43" s="247" t="s">
        <v>158</v>
      </c>
      <c r="D43" s="247" t="s">
        <v>49</v>
      </c>
      <c r="E43" s="246" t="s">
        <v>50</v>
      </c>
      <c r="F43" s="249">
        <f t="shared" ref="F43:G45" si="9">H43/10.764</f>
        <v>22440.914158305462</v>
      </c>
      <c r="G43" s="249">
        <f t="shared" si="9"/>
        <v>22440.914158305462</v>
      </c>
      <c r="H43" s="249">
        <v>241554</v>
      </c>
      <c r="I43" s="249">
        <v>241554</v>
      </c>
      <c r="J43" s="266"/>
      <c r="K43" s="266"/>
      <c r="L43" s="246" t="s">
        <v>22</v>
      </c>
    </row>
    <row r="44" spans="1:17" s="255" customFormat="1" ht="14.1" customHeight="1" x14ac:dyDescent="0.45">
      <c r="A44" s="246">
        <v>2</v>
      </c>
      <c r="B44" s="247" t="s">
        <v>47</v>
      </c>
      <c r="C44" s="247" t="s">
        <v>431</v>
      </c>
      <c r="D44" s="247" t="s">
        <v>430</v>
      </c>
      <c r="E44" s="246" t="s">
        <v>31</v>
      </c>
      <c r="F44" s="249">
        <f t="shared" si="9"/>
        <v>11284.28093645485</v>
      </c>
      <c r="G44" s="249">
        <f t="shared" si="9"/>
        <v>11284.28093645485</v>
      </c>
      <c r="H44" s="249">
        <v>121464</v>
      </c>
      <c r="I44" s="249">
        <v>121464</v>
      </c>
      <c r="J44" s="266"/>
      <c r="K44" s="266"/>
      <c r="L44" s="246" t="s">
        <v>34</v>
      </c>
    </row>
    <row r="45" spans="1:17" s="255" customFormat="1" ht="14.1" customHeight="1" x14ac:dyDescent="0.45">
      <c r="A45" s="246">
        <v>3</v>
      </c>
      <c r="B45" s="247" t="s">
        <v>47</v>
      </c>
      <c r="C45" s="247" t="s">
        <v>474</v>
      </c>
      <c r="D45" s="247" t="s">
        <v>430</v>
      </c>
      <c r="E45" s="246" t="s">
        <v>31</v>
      </c>
      <c r="F45" s="249">
        <f t="shared" si="9"/>
        <v>2377.9264214046825</v>
      </c>
      <c r="G45" s="249">
        <f t="shared" si="9"/>
        <v>2377.9264214046825</v>
      </c>
      <c r="H45" s="249">
        <v>25596</v>
      </c>
      <c r="I45" s="249">
        <v>25596</v>
      </c>
      <c r="J45" s="266"/>
      <c r="K45" s="266"/>
      <c r="L45" s="246" t="s">
        <v>34</v>
      </c>
    </row>
    <row r="46" spans="1:17" s="255" customFormat="1" ht="14.1" customHeight="1" x14ac:dyDescent="0.45">
      <c r="A46" s="246">
        <v>4</v>
      </c>
      <c r="B46" s="247" t="s">
        <v>47</v>
      </c>
      <c r="C46" s="247" t="s">
        <v>159</v>
      </c>
      <c r="D46" s="247" t="s">
        <v>160</v>
      </c>
      <c r="E46" s="246" t="s">
        <v>161</v>
      </c>
      <c r="F46" s="249">
        <f t="shared" ref="F46:F49" si="10">H46/10.764</f>
        <v>10000</v>
      </c>
      <c r="G46" s="249">
        <f t="shared" ref="G46:G49" si="11">I46/10.764</f>
        <v>5000</v>
      </c>
      <c r="H46" s="249">
        <v>107640</v>
      </c>
      <c r="I46" s="249">
        <v>53820</v>
      </c>
      <c r="J46" s="266"/>
      <c r="K46" s="266"/>
      <c r="L46" s="246" t="s">
        <v>34</v>
      </c>
    </row>
    <row r="47" spans="1:17" s="278" customFormat="1" ht="14.1" customHeight="1" x14ac:dyDescent="0.45">
      <c r="A47" s="246">
        <v>5</v>
      </c>
      <c r="B47" s="247" t="s">
        <v>47</v>
      </c>
      <c r="C47" s="247" t="s">
        <v>162</v>
      </c>
      <c r="D47" s="247" t="s">
        <v>163</v>
      </c>
      <c r="E47" s="246" t="s">
        <v>164</v>
      </c>
      <c r="F47" s="249">
        <f t="shared" si="10"/>
        <v>11807.506503158678</v>
      </c>
      <c r="G47" s="249">
        <f t="shared" si="11"/>
        <v>11807.506503158678</v>
      </c>
      <c r="H47" s="249">
        <v>127096</v>
      </c>
      <c r="I47" s="249">
        <v>127096</v>
      </c>
      <c r="J47" s="266"/>
      <c r="K47" s="266"/>
      <c r="L47" s="246" t="s">
        <v>34</v>
      </c>
      <c r="M47" s="255"/>
      <c r="N47" s="255"/>
      <c r="O47" s="255"/>
      <c r="P47" s="255"/>
      <c r="Q47" s="255"/>
    </row>
    <row r="48" spans="1:17" s="255" customFormat="1" ht="14.1" customHeight="1" x14ac:dyDescent="0.35">
      <c r="A48" s="246">
        <v>6</v>
      </c>
      <c r="B48" s="247" t="s">
        <v>47</v>
      </c>
      <c r="C48" s="266" t="s">
        <v>55</v>
      </c>
      <c r="D48" s="266" t="s">
        <v>53</v>
      </c>
      <c r="E48" s="249" t="s">
        <v>54</v>
      </c>
      <c r="F48" s="249">
        <f t="shared" si="10"/>
        <v>21739.780750650316</v>
      </c>
      <c r="G48" s="249">
        <f t="shared" si="11"/>
        <v>9848.0118914901523</v>
      </c>
      <c r="H48" s="249">
        <v>234007</v>
      </c>
      <c r="I48" s="249">
        <v>106004</v>
      </c>
      <c r="J48" s="266"/>
      <c r="K48" s="224" t="s">
        <v>169</v>
      </c>
      <c r="L48" s="249" t="s">
        <v>22</v>
      </c>
    </row>
    <row r="49" spans="1:17" s="255" customFormat="1" ht="14.1" customHeight="1" x14ac:dyDescent="0.45">
      <c r="A49" s="246">
        <v>7</v>
      </c>
      <c r="B49" s="247" t="s">
        <v>47</v>
      </c>
      <c r="C49" s="266" t="s">
        <v>170</v>
      </c>
      <c r="D49" s="266" t="s">
        <v>171</v>
      </c>
      <c r="E49" s="249" t="s">
        <v>172</v>
      </c>
      <c r="F49" s="249">
        <f t="shared" si="10"/>
        <v>31168.524712002974</v>
      </c>
      <c r="G49" s="249">
        <f t="shared" si="11"/>
        <v>31168.524712002974</v>
      </c>
      <c r="H49" s="249">
        <v>335498</v>
      </c>
      <c r="I49" s="249">
        <v>335498</v>
      </c>
      <c r="J49" s="266"/>
      <c r="K49" s="266"/>
      <c r="L49" s="249" t="s">
        <v>22</v>
      </c>
    </row>
    <row r="50" spans="1:17" s="255" customFormat="1" ht="14.1" customHeight="1" x14ac:dyDescent="0.45">
      <c r="A50" s="246"/>
      <c r="B50" s="274" t="s">
        <v>173</v>
      </c>
      <c r="C50" s="274"/>
      <c r="D50" s="274"/>
      <c r="E50" s="274"/>
      <c r="F50" s="274"/>
      <c r="G50" s="274"/>
      <c r="H50" s="274"/>
      <c r="I50" s="275">
        <f>SUM(I43:I49)</f>
        <v>1011032</v>
      </c>
      <c r="J50" s="275"/>
      <c r="K50" s="275"/>
      <c r="L50" s="279"/>
    </row>
    <row r="51" spans="1:17" s="20" customFormat="1" ht="15" customHeight="1" x14ac:dyDescent="0.45">
      <c r="A51" s="68"/>
      <c r="B51" s="227" t="s">
        <v>85</v>
      </c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19"/>
      <c r="N51" s="19"/>
      <c r="O51" s="19"/>
      <c r="P51" s="19"/>
      <c r="Q51" s="19"/>
    </row>
    <row r="52" spans="1:17" s="255" customFormat="1" ht="13.15" x14ac:dyDescent="0.45">
      <c r="A52" s="246">
        <v>1</v>
      </c>
      <c r="B52" s="279" t="s">
        <v>86</v>
      </c>
      <c r="C52" s="279" t="s">
        <v>188</v>
      </c>
      <c r="D52" s="279" t="s">
        <v>436</v>
      </c>
      <c r="E52" s="246" t="s">
        <v>427</v>
      </c>
      <c r="F52" s="249">
        <f t="shared" ref="F52:G56" si="12">H52/10.764</f>
        <v>11120.122630992197</v>
      </c>
      <c r="G52" s="249">
        <f t="shared" si="12"/>
        <v>11120.122630992197</v>
      </c>
      <c r="H52" s="249">
        <v>119697</v>
      </c>
      <c r="I52" s="249">
        <v>119697</v>
      </c>
      <c r="J52" s="280" t="s">
        <v>429</v>
      </c>
      <c r="K52" s="273"/>
      <c r="L52" s="246" t="s">
        <v>22</v>
      </c>
    </row>
    <row r="53" spans="1:17" s="255" customFormat="1" ht="13.15" x14ac:dyDescent="0.45">
      <c r="A53" s="246">
        <v>2</v>
      </c>
      <c r="B53" s="279" t="s">
        <v>86</v>
      </c>
      <c r="C53" s="279" t="s">
        <v>428</v>
      </c>
      <c r="D53" s="279" t="s">
        <v>436</v>
      </c>
      <c r="E53" s="246" t="s">
        <v>427</v>
      </c>
      <c r="F53" s="249">
        <f t="shared" si="12"/>
        <v>13877.369007803791</v>
      </c>
      <c r="G53" s="249">
        <f t="shared" si="12"/>
        <v>13877.369007803791</v>
      </c>
      <c r="H53" s="249">
        <v>149376</v>
      </c>
      <c r="I53" s="249">
        <v>149376</v>
      </c>
      <c r="J53" s="280" t="s">
        <v>429</v>
      </c>
      <c r="K53" s="273"/>
      <c r="L53" s="246" t="s">
        <v>22</v>
      </c>
    </row>
    <row r="54" spans="1:17" s="255" customFormat="1" ht="13.15" x14ac:dyDescent="0.45">
      <c r="A54" s="246">
        <v>3</v>
      </c>
      <c r="B54" s="279" t="s">
        <v>86</v>
      </c>
      <c r="C54" s="279" t="s">
        <v>450</v>
      </c>
      <c r="D54" s="279" t="s">
        <v>312</v>
      </c>
      <c r="E54" s="246" t="s">
        <v>172</v>
      </c>
      <c r="F54" s="249">
        <f t="shared" si="12"/>
        <v>10699.925678186548</v>
      </c>
      <c r="G54" s="249">
        <f t="shared" si="12"/>
        <v>10699.925678186548</v>
      </c>
      <c r="H54" s="249">
        <v>115174</v>
      </c>
      <c r="I54" s="249">
        <v>115174</v>
      </c>
      <c r="J54" s="280" t="s">
        <v>451</v>
      </c>
      <c r="K54" s="273"/>
      <c r="L54" s="246" t="s">
        <v>22</v>
      </c>
    </row>
    <row r="55" spans="1:17" s="255" customFormat="1" ht="13.15" x14ac:dyDescent="0.45">
      <c r="A55" s="246">
        <v>4</v>
      </c>
      <c r="B55" s="279" t="s">
        <v>86</v>
      </c>
      <c r="C55" s="279" t="s">
        <v>432</v>
      </c>
      <c r="D55" s="279" t="s">
        <v>23</v>
      </c>
      <c r="E55" s="246" t="s">
        <v>172</v>
      </c>
      <c r="F55" s="249">
        <f t="shared" si="12"/>
        <v>18632.478632478633</v>
      </c>
      <c r="G55" s="249">
        <f t="shared" si="12"/>
        <v>18632.478632478633</v>
      </c>
      <c r="H55" s="249">
        <v>200560</v>
      </c>
      <c r="I55" s="249">
        <v>200560</v>
      </c>
      <c r="J55" s="280" t="s">
        <v>429</v>
      </c>
      <c r="K55" s="273"/>
      <c r="L55" s="246" t="s">
        <v>22</v>
      </c>
    </row>
    <row r="56" spans="1:17" s="255" customFormat="1" ht="13.15" x14ac:dyDescent="0.45">
      <c r="A56" s="246">
        <v>5</v>
      </c>
      <c r="B56" s="279" t="s">
        <v>86</v>
      </c>
      <c r="C56" s="279" t="s">
        <v>475</v>
      </c>
      <c r="D56" s="279" t="s">
        <v>312</v>
      </c>
      <c r="E56" s="246" t="s">
        <v>172</v>
      </c>
      <c r="F56" s="249">
        <f t="shared" si="12"/>
        <v>55323.299888517286</v>
      </c>
      <c r="G56" s="249">
        <f t="shared" si="12"/>
        <v>55323.299888517286</v>
      </c>
      <c r="H56" s="249">
        <v>595500</v>
      </c>
      <c r="I56" s="249">
        <v>595500</v>
      </c>
      <c r="J56" s="280"/>
      <c r="K56" s="273"/>
      <c r="L56" s="246" t="s">
        <v>34</v>
      </c>
    </row>
    <row r="57" spans="1:17" s="255" customFormat="1" ht="13.15" x14ac:dyDescent="0.45">
      <c r="A57" s="246"/>
      <c r="B57" s="274" t="s">
        <v>87</v>
      </c>
      <c r="C57" s="274"/>
      <c r="D57" s="274"/>
      <c r="E57" s="274"/>
      <c r="F57" s="274"/>
      <c r="G57" s="274"/>
      <c r="H57" s="274"/>
      <c r="I57" s="275">
        <f>SUM(I52:I56)</f>
        <v>1180307</v>
      </c>
      <c r="J57" s="275"/>
      <c r="K57" s="275"/>
      <c r="L57" s="246"/>
      <c r="M57" s="268"/>
    </row>
    <row r="58" spans="1:17" s="20" customFormat="1" ht="15" customHeight="1" x14ac:dyDescent="0.45">
      <c r="A58" s="68"/>
      <c r="B58" s="227" t="s">
        <v>71</v>
      </c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19"/>
      <c r="N58" s="19"/>
      <c r="O58" s="19"/>
      <c r="P58" s="19"/>
      <c r="Q58" s="19"/>
    </row>
    <row r="59" spans="1:17" s="100" customFormat="1" ht="14.1" customHeight="1" x14ac:dyDescent="0.35">
      <c r="A59" s="221">
        <v>1</v>
      </c>
      <c r="B59" s="137" t="s">
        <v>72</v>
      </c>
      <c r="C59" s="137" t="s">
        <v>174</v>
      </c>
      <c r="D59" s="137" t="s">
        <v>175</v>
      </c>
      <c r="E59" s="72" t="s">
        <v>67</v>
      </c>
      <c r="F59" s="72">
        <f t="shared" ref="F59:G65" si="13">H59/10.764</f>
        <v>9847.6402824228917</v>
      </c>
      <c r="G59" s="182">
        <f t="shared" si="13"/>
        <v>9847.6402824228917</v>
      </c>
      <c r="H59" s="182">
        <v>106000</v>
      </c>
      <c r="I59" s="182">
        <f>H59</f>
        <v>106000</v>
      </c>
      <c r="J59" s="205"/>
      <c r="K59" s="224" t="s">
        <v>176</v>
      </c>
      <c r="L59" s="73" t="s">
        <v>22</v>
      </c>
      <c r="M59" s="11"/>
      <c r="N59" s="11"/>
      <c r="O59" s="11"/>
      <c r="P59" s="12"/>
      <c r="Q59" s="12"/>
    </row>
    <row r="60" spans="1:17" s="100" customFormat="1" ht="14.1" customHeight="1" x14ac:dyDescent="0.35">
      <c r="A60" s="221">
        <v>2</v>
      </c>
      <c r="B60" s="137" t="s">
        <v>72</v>
      </c>
      <c r="C60" s="137" t="s">
        <v>177</v>
      </c>
      <c r="D60" s="137" t="s">
        <v>178</v>
      </c>
      <c r="E60" s="72" t="s">
        <v>67</v>
      </c>
      <c r="F60" s="72">
        <f t="shared" si="13"/>
        <v>16500</v>
      </c>
      <c r="G60" s="182">
        <f t="shared" si="13"/>
        <v>16500</v>
      </c>
      <c r="H60" s="182">
        <v>177606</v>
      </c>
      <c r="I60" s="182">
        <v>177606</v>
      </c>
      <c r="J60" s="205"/>
      <c r="K60" s="224"/>
      <c r="L60" s="73" t="s">
        <v>22</v>
      </c>
      <c r="M60" s="11"/>
      <c r="N60" s="11"/>
      <c r="O60" s="11"/>
      <c r="P60" s="12"/>
      <c r="Q60" s="12"/>
    </row>
    <row r="61" spans="1:17" s="100" customFormat="1" ht="14.1" customHeight="1" x14ac:dyDescent="0.45">
      <c r="A61" s="221">
        <v>3</v>
      </c>
      <c r="B61" s="137" t="s">
        <v>72</v>
      </c>
      <c r="C61" s="137" t="s">
        <v>282</v>
      </c>
      <c r="D61" s="137" t="s">
        <v>280</v>
      </c>
      <c r="E61" s="72" t="s">
        <v>67</v>
      </c>
      <c r="F61" s="72">
        <f t="shared" si="13"/>
        <v>13000</v>
      </c>
      <c r="G61" s="182">
        <f t="shared" si="13"/>
        <v>13000</v>
      </c>
      <c r="H61" s="182">
        <v>139932</v>
      </c>
      <c r="I61" s="182">
        <v>139932</v>
      </c>
      <c r="J61" s="205"/>
      <c r="K61" s="203" t="s">
        <v>283</v>
      </c>
      <c r="L61" s="73" t="s">
        <v>22</v>
      </c>
      <c r="M61" s="11"/>
      <c r="N61" s="11"/>
      <c r="O61" s="11"/>
      <c r="P61" s="12"/>
      <c r="Q61" s="12"/>
    </row>
    <row r="62" spans="1:17" s="12" customFormat="1" ht="14.1" customHeight="1" x14ac:dyDescent="0.45">
      <c r="A62" s="221">
        <v>4</v>
      </c>
      <c r="B62" s="137" t="s">
        <v>72</v>
      </c>
      <c r="C62" s="137" t="s">
        <v>179</v>
      </c>
      <c r="D62" s="137" t="s">
        <v>180</v>
      </c>
      <c r="E62" s="73" t="s">
        <v>181</v>
      </c>
      <c r="F62" s="72">
        <f t="shared" si="13"/>
        <v>2906.3545150501673</v>
      </c>
      <c r="G62" s="72">
        <f t="shared" si="13"/>
        <v>2906.3545150501673</v>
      </c>
      <c r="H62" s="72">
        <v>31284</v>
      </c>
      <c r="I62" s="72">
        <v>31284</v>
      </c>
      <c r="J62" s="180"/>
      <c r="K62" s="180"/>
      <c r="L62" s="73" t="s">
        <v>22</v>
      </c>
      <c r="M62" s="75"/>
      <c r="N62" s="75"/>
      <c r="O62" s="75"/>
      <c r="P62" s="75"/>
      <c r="Q62" s="75"/>
    </row>
    <row r="63" spans="1:17" s="12" customFormat="1" ht="14.1" customHeight="1" x14ac:dyDescent="0.45">
      <c r="A63" s="221">
        <v>5</v>
      </c>
      <c r="B63" s="137" t="s">
        <v>72</v>
      </c>
      <c r="C63" s="137" t="s">
        <v>472</v>
      </c>
      <c r="D63" s="137" t="s">
        <v>473</v>
      </c>
      <c r="E63" s="73" t="s">
        <v>31</v>
      </c>
      <c r="F63" s="72">
        <f t="shared" si="13"/>
        <v>10900.037160906726</v>
      </c>
      <c r="G63" s="72">
        <f t="shared" si="13"/>
        <v>10900.037160906726</v>
      </c>
      <c r="H63" s="72">
        <v>117328</v>
      </c>
      <c r="I63" s="72">
        <v>117328</v>
      </c>
      <c r="J63" s="180"/>
      <c r="K63" s="180"/>
      <c r="L63" s="73" t="s">
        <v>34</v>
      </c>
      <c r="M63" s="75"/>
      <c r="N63" s="75"/>
      <c r="O63" s="75"/>
      <c r="P63" s="75"/>
      <c r="Q63" s="75"/>
    </row>
    <row r="64" spans="1:17" s="12" customFormat="1" ht="14.1" customHeight="1" x14ac:dyDescent="0.35">
      <c r="A64" s="221">
        <v>6</v>
      </c>
      <c r="B64" s="137" t="s">
        <v>72</v>
      </c>
      <c r="C64" s="137" t="s">
        <v>182</v>
      </c>
      <c r="D64" s="137" t="s">
        <v>73</v>
      </c>
      <c r="E64" s="73" t="s">
        <v>112</v>
      </c>
      <c r="F64" s="72">
        <f t="shared" si="13"/>
        <v>2787.0680044593091</v>
      </c>
      <c r="G64" s="72">
        <f t="shared" si="13"/>
        <v>2787.0680044593091</v>
      </c>
      <c r="H64" s="72">
        <v>30000</v>
      </c>
      <c r="I64" s="72">
        <v>30000</v>
      </c>
      <c r="J64" s="180"/>
      <c r="K64" s="224" t="s">
        <v>183</v>
      </c>
      <c r="L64" s="73" t="s">
        <v>22</v>
      </c>
      <c r="M64" s="75"/>
      <c r="N64" s="75"/>
      <c r="O64" s="75"/>
      <c r="P64" s="75"/>
      <c r="Q64" s="75"/>
    </row>
    <row r="65" spans="1:17" s="12" customFormat="1" ht="14.1" customHeight="1" x14ac:dyDescent="0.35">
      <c r="A65" s="221">
        <v>7</v>
      </c>
      <c r="B65" s="137" t="s">
        <v>72</v>
      </c>
      <c r="C65" s="137" t="s">
        <v>184</v>
      </c>
      <c r="D65" s="137" t="s">
        <v>185</v>
      </c>
      <c r="E65" s="73" t="s">
        <v>32</v>
      </c>
      <c r="F65" s="72">
        <f t="shared" si="13"/>
        <v>15607.58082497213</v>
      </c>
      <c r="G65" s="72">
        <f t="shared" si="13"/>
        <v>15607.58082497213</v>
      </c>
      <c r="H65" s="72">
        <v>168000</v>
      </c>
      <c r="I65" s="72">
        <v>168000</v>
      </c>
      <c r="J65" s="180" t="s">
        <v>409</v>
      </c>
      <c r="K65" s="226"/>
      <c r="L65" s="73" t="s">
        <v>22</v>
      </c>
      <c r="M65" s="75"/>
      <c r="N65" s="75"/>
      <c r="O65" s="75"/>
      <c r="P65" s="75"/>
      <c r="Q65" s="75"/>
    </row>
    <row r="66" spans="1:17" s="12" customFormat="1" ht="14.1" customHeight="1" x14ac:dyDescent="0.45">
      <c r="A66" s="73"/>
      <c r="B66" s="228" t="s">
        <v>186</v>
      </c>
      <c r="C66" s="228"/>
      <c r="D66" s="228"/>
      <c r="E66" s="228"/>
      <c r="F66" s="228"/>
      <c r="G66" s="228"/>
      <c r="H66" s="228"/>
      <c r="I66" s="147">
        <f>SUM(I59:I65)</f>
        <v>770150</v>
      </c>
      <c r="J66" s="147"/>
      <c r="K66" s="147"/>
      <c r="L66" s="73"/>
      <c r="M66" s="75"/>
      <c r="N66" s="75"/>
      <c r="O66" s="75"/>
      <c r="P66" s="75"/>
      <c r="Q66" s="75"/>
    </row>
    <row r="67" spans="1:17" s="20" customFormat="1" ht="15" customHeight="1" x14ac:dyDescent="0.45">
      <c r="A67" s="68"/>
      <c r="B67" s="227" t="s">
        <v>187</v>
      </c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19"/>
      <c r="N67" s="19"/>
      <c r="O67" s="19"/>
      <c r="P67" s="19"/>
      <c r="Q67" s="19"/>
    </row>
    <row r="68" spans="1:17" s="20" customFormat="1" ht="14.1" customHeight="1" x14ac:dyDescent="0.45">
      <c r="A68" s="73">
        <v>1</v>
      </c>
      <c r="B68" s="137" t="s">
        <v>80</v>
      </c>
      <c r="C68" s="137" t="s">
        <v>188</v>
      </c>
      <c r="D68" s="137" t="s">
        <v>189</v>
      </c>
      <c r="E68" s="73" t="s">
        <v>48</v>
      </c>
      <c r="F68" s="139">
        <f t="shared" ref="F68:G72" si="14">H68/10.764</f>
        <v>5069.2121887774065</v>
      </c>
      <c r="G68" s="139">
        <f t="shared" si="14"/>
        <v>5069.2121887774065</v>
      </c>
      <c r="H68" s="72">
        <v>54565</v>
      </c>
      <c r="I68" s="72">
        <v>54565</v>
      </c>
      <c r="J68" s="148"/>
      <c r="K68" s="148"/>
      <c r="L68" s="73" t="s">
        <v>22</v>
      </c>
      <c r="M68" s="19"/>
      <c r="N68" s="19"/>
      <c r="O68" s="19"/>
      <c r="P68" s="19"/>
      <c r="Q68" s="19"/>
    </row>
    <row r="69" spans="1:17" s="20" customFormat="1" ht="14.1" customHeight="1" x14ac:dyDescent="0.45">
      <c r="A69" s="73">
        <v>2</v>
      </c>
      <c r="B69" s="137" t="s">
        <v>80</v>
      </c>
      <c r="C69" s="137" t="s">
        <v>257</v>
      </c>
      <c r="D69" s="137" t="s">
        <v>258</v>
      </c>
      <c r="E69" s="73" t="s">
        <v>48</v>
      </c>
      <c r="F69" s="139">
        <f t="shared" si="14"/>
        <v>17262.913415087329</v>
      </c>
      <c r="G69" s="139">
        <f t="shared" si="14"/>
        <v>17262.913415087329</v>
      </c>
      <c r="H69" s="72">
        <v>185818</v>
      </c>
      <c r="I69" s="72">
        <v>185818</v>
      </c>
      <c r="J69" s="148"/>
      <c r="K69" s="148"/>
      <c r="L69" s="73" t="s">
        <v>22</v>
      </c>
      <c r="M69" s="19"/>
      <c r="N69" s="19"/>
      <c r="O69" s="19"/>
      <c r="P69" s="19"/>
      <c r="Q69" s="19"/>
    </row>
    <row r="70" spans="1:17" s="20" customFormat="1" ht="14.1" customHeight="1" x14ac:dyDescent="0.45">
      <c r="A70" s="73">
        <v>3</v>
      </c>
      <c r="B70" s="137" t="s">
        <v>80</v>
      </c>
      <c r="C70" s="137" t="s">
        <v>422</v>
      </c>
      <c r="D70" s="137" t="s">
        <v>191</v>
      </c>
      <c r="E70" s="73" t="s">
        <v>74</v>
      </c>
      <c r="F70" s="139">
        <f t="shared" si="14"/>
        <v>115123.83872166481</v>
      </c>
      <c r="G70" s="139">
        <f t="shared" si="14"/>
        <v>115123.83872166481</v>
      </c>
      <c r="H70" s="72">
        <v>1239193</v>
      </c>
      <c r="I70" s="72">
        <v>1239193</v>
      </c>
      <c r="J70" s="148"/>
      <c r="K70" s="148"/>
      <c r="L70" s="73" t="s">
        <v>22</v>
      </c>
      <c r="M70" s="19"/>
      <c r="N70" s="19"/>
      <c r="O70" s="19"/>
      <c r="P70" s="19"/>
      <c r="Q70" s="19"/>
    </row>
    <row r="71" spans="1:17" s="20" customFormat="1" ht="14.1" customHeight="1" x14ac:dyDescent="0.45">
      <c r="A71" s="73">
        <v>4</v>
      </c>
      <c r="B71" s="137" t="s">
        <v>80</v>
      </c>
      <c r="C71" s="137" t="s">
        <v>188</v>
      </c>
      <c r="D71" s="137" t="s">
        <v>437</v>
      </c>
      <c r="E71" s="73" t="s">
        <v>427</v>
      </c>
      <c r="F71" s="139">
        <f t="shared" si="14"/>
        <v>13599.962839093274</v>
      </c>
      <c r="G71" s="139">
        <f t="shared" si="14"/>
        <v>13599.962839093274</v>
      </c>
      <c r="H71" s="72">
        <v>146390</v>
      </c>
      <c r="I71" s="72">
        <v>146390</v>
      </c>
      <c r="J71" s="73" t="s">
        <v>429</v>
      </c>
      <c r="K71" s="148"/>
      <c r="L71" s="73" t="s">
        <v>34</v>
      </c>
      <c r="M71" s="19"/>
      <c r="N71" s="19"/>
      <c r="O71" s="19"/>
      <c r="P71" s="19"/>
      <c r="Q71" s="19"/>
    </row>
    <row r="72" spans="1:17" s="20" customFormat="1" ht="14.1" customHeight="1" x14ac:dyDescent="0.45">
      <c r="A72" s="73">
        <v>5</v>
      </c>
      <c r="B72" s="137" t="s">
        <v>80</v>
      </c>
      <c r="C72" s="137" t="s">
        <v>428</v>
      </c>
      <c r="D72" s="137" t="s">
        <v>437</v>
      </c>
      <c r="E72" s="73" t="s">
        <v>427</v>
      </c>
      <c r="F72" s="139">
        <f t="shared" si="14"/>
        <v>9799.981419546637</v>
      </c>
      <c r="G72" s="139">
        <f t="shared" si="14"/>
        <v>9799.981419546637</v>
      </c>
      <c r="H72" s="72">
        <v>105487</v>
      </c>
      <c r="I72" s="72">
        <v>105487</v>
      </c>
      <c r="J72" s="73" t="s">
        <v>429</v>
      </c>
      <c r="K72" s="148"/>
      <c r="L72" s="73" t="s">
        <v>34</v>
      </c>
      <c r="M72" s="19"/>
      <c r="N72" s="19"/>
      <c r="O72" s="19"/>
      <c r="P72" s="19"/>
      <c r="Q72" s="19"/>
    </row>
    <row r="73" spans="1:17" s="20" customFormat="1" ht="14.1" customHeight="1" x14ac:dyDescent="0.45">
      <c r="A73" s="73">
        <v>6</v>
      </c>
      <c r="B73" s="137" t="s">
        <v>80</v>
      </c>
      <c r="C73" s="137" t="s">
        <v>190</v>
      </c>
      <c r="D73" s="137" t="s">
        <v>191</v>
      </c>
      <c r="E73" s="73" t="s">
        <v>112</v>
      </c>
      <c r="F73" s="139">
        <f t="shared" ref="F73:G80" si="15">H73/10.764</f>
        <v>3195.8379784466742</v>
      </c>
      <c r="G73" s="139">
        <f t="shared" si="15"/>
        <v>3195.8379784466742</v>
      </c>
      <c r="H73" s="72">
        <v>34400</v>
      </c>
      <c r="I73" s="72">
        <v>34400</v>
      </c>
      <c r="J73" s="148"/>
      <c r="K73" s="148"/>
      <c r="L73" s="73" t="s">
        <v>34</v>
      </c>
      <c r="M73" s="19"/>
      <c r="N73" s="19"/>
      <c r="O73" s="19"/>
      <c r="P73" s="19"/>
      <c r="Q73" s="19"/>
    </row>
    <row r="74" spans="1:17" s="20" customFormat="1" ht="14.1" customHeight="1" x14ac:dyDescent="0.45">
      <c r="A74" s="73">
        <v>7</v>
      </c>
      <c r="B74" s="137" t="s">
        <v>80</v>
      </c>
      <c r="C74" s="137" t="s">
        <v>468</v>
      </c>
      <c r="D74" s="137" t="s">
        <v>82</v>
      </c>
      <c r="E74" s="73" t="s">
        <v>112</v>
      </c>
      <c r="F74" s="139">
        <f t="shared" si="15"/>
        <v>7625.0464511334085</v>
      </c>
      <c r="G74" s="139">
        <f t="shared" si="15"/>
        <v>7625.0464511334085</v>
      </c>
      <c r="H74" s="72">
        <v>82076</v>
      </c>
      <c r="I74" s="72">
        <v>82076</v>
      </c>
      <c r="J74" s="148"/>
      <c r="K74" s="148"/>
      <c r="L74" s="73" t="s">
        <v>22</v>
      </c>
      <c r="M74" s="19"/>
      <c r="N74" s="19"/>
      <c r="O74" s="19"/>
      <c r="P74" s="19"/>
      <c r="Q74" s="19"/>
    </row>
    <row r="75" spans="1:17" s="20" customFormat="1" ht="14.1" customHeight="1" x14ac:dyDescent="0.45">
      <c r="A75" s="73">
        <v>8</v>
      </c>
      <c r="B75" s="137" t="s">
        <v>80</v>
      </c>
      <c r="C75" s="137" t="s">
        <v>440</v>
      </c>
      <c r="D75" s="137" t="s">
        <v>439</v>
      </c>
      <c r="E75" s="73" t="s">
        <v>113</v>
      </c>
      <c r="F75" s="139">
        <f t="shared" si="15"/>
        <v>4677.1646228167974</v>
      </c>
      <c r="G75" s="139">
        <f t="shared" si="15"/>
        <v>4677.1646228167974</v>
      </c>
      <c r="H75" s="72">
        <v>50345</v>
      </c>
      <c r="I75" s="72">
        <v>50345</v>
      </c>
      <c r="J75" s="73" t="s">
        <v>441</v>
      </c>
      <c r="K75" s="148"/>
      <c r="L75" s="73" t="s">
        <v>34</v>
      </c>
      <c r="M75" s="19"/>
      <c r="N75" s="19"/>
      <c r="O75" s="19"/>
      <c r="P75" s="19"/>
      <c r="Q75" s="19"/>
    </row>
    <row r="76" spans="1:17" s="20" customFormat="1" ht="14.1" customHeight="1" x14ac:dyDescent="0.45">
      <c r="A76" s="73">
        <v>9</v>
      </c>
      <c r="B76" s="137" t="s">
        <v>80</v>
      </c>
      <c r="C76" s="137" t="s">
        <v>412</v>
      </c>
      <c r="D76" s="137" t="s">
        <v>411</v>
      </c>
      <c r="E76" s="73" t="s">
        <v>516</v>
      </c>
      <c r="F76" s="139">
        <f t="shared" si="15"/>
        <v>9755.9457450761802</v>
      </c>
      <c r="G76" s="139">
        <f t="shared" si="15"/>
        <v>9755.9457450761802</v>
      </c>
      <c r="H76" s="72">
        <v>105013</v>
      </c>
      <c r="I76" s="72">
        <v>105013</v>
      </c>
      <c r="J76" s="73"/>
      <c r="K76" s="148"/>
      <c r="L76" s="73" t="s">
        <v>22</v>
      </c>
      <c r="M76" s="19"/>
      <c r="N76" s="19"/>
      <c r="O76" s="19"/>
      <c r="P76" s="19"/>
      <c r="Q76" s="19"/>
    </row>
    <row r="77" spans="1:17" s="102" customFormat="1" ht="14.1" customHeight="1" x14ac:dyDescent="0.45">
      <c r="A77" s="73">
        <v>10</v>
      </c>
      <c r="B77" s="138" t="s">
        <v>80</v>
      </c>
      <c r="C77" s="138" t="s">
        <v>192</v>
      </c>
      <c r="D77" s="138" t="s">
        <v>193</v>
      </c>
      <c r="E77" s="16" t="s">
        <v>194</v>
      </c>
      <c r="F77" s="139">
        <f t="shared" si="15"/>
        <v>16387.959866220735</v>
      </c>
      <c r="G77" s="139">
        <f t="shared" si="15"/>
        <v>16387.959866220735</v>
      </c>
      <c r="H77" s="139">
        <v>176400</v>
      </c>
      <c r="I77" s="139">
        <v>176400</v>
      </c>
      <c r="J77" s="73" t="s">
        <v>116</v>
      </c>
      <c r="K77" s="156"/>
      <c r="L77" s="16" t="s">
        <v>22</v>
      </c>
      <c r="M77" s="127"/>
      <c r="N77" s="127"/>
      <c r="O77" s="127"/>
      <c r="P77" s="127"/>
      <c r="Q77" s="127"/>
    </row>
    <row r="78" spans="1:17" s="20" customFormat="1" ht="14.1" customHeight="1" x14ac:dyDescent="0.35">
      <c r="A78" s="73">
        <v>11</v>
      </c>
      <c r="B78" s="137" t="s">
        <v>80</v>
      </c>
      <c r="C78" s="137" t="s">
        <v>195</v>
      </c>
      <c r="D78" s="137" t="s">
        <v>196</v>
      </c>
      <c r="E78" s="73" t="s">
        <v>41</v>
      </c>
      <c r="F78" s="72">
        <f t="shared" si="15"/>
        <v>17858.695652173916</v>
      </c>
      <c r="G78" s="72">
        <f t="shared" si="15"/>
        <v>17858.695652173916</v>
      </c>
      <c r="H78" s="72">
        <v>192231</v>
      </c>
      <c r="I78" s="72">
        <v>192231</v>
      </c>
      <c r="J78" s="148"/>
      <c r="K78" s="226" t="s">
        <v>197</v>
      </c>
      <c r="L78" s="73" t="s">
        <v>22</v>
      </c>
      <c r="M78" s="19"/>
      <c r="N78" s="19"/>
      <c r="O78" s="19"/>
      <c r="P78" s="19"/>
      <c r="Q78" s="19"/>
    </row>
    <row r="79" spans="1:17" s="20" customFormat="1" ht="14.1" customHeight="1" x14ac:dyDescent="0.35">
      <c r="A79" s="73">
        <v>12</v>
      </c>
      <c r="B79" s="137" t="s">
        <v>80</v>
      </c>
      <c r="C79" s="181" t="s">
        <v>198</v>
      </c>
      <c r="D79" s="181" t="s">
        <v>199</v>
      </c>
      <c r="E79" s="179" t="s">
        <v>200</v>
      </c>
      <c r="F79" s="72">
        <f t="shared" si="15"/>
        <v>7033.9093273875887</v>
      </c>
      <c r="G79" s="72">
        <f t="shared" si="15"/>
        <v>7033.9093273875887</v>
      </c>
      <c r="H79" s="182">
        <v>75713</v>
      </c>
      <c r="I79" s="178">
        <v>75713</v>
      </c>
      <c r="J79" s="148"/>
      <c r="K79" s="148"/>
      <c r="L79" s="73" t="s">
        <v>22</v>
      </c>
      <c r="M79" s="19"/>
      <c r="N79" s="19"/>
      <c r="O79" s="19"/>
      <c r="P79" s="19"/>
      <c r="Q79" s="19"/>
    </row>
    <row r="80" spans="1:17" s="20" customFormat="1" ht="14.1" customHeight="1" x14ac:dyDescent="0.35">
      <c r="A80" s="73">
        <v>13</v>
      </c>
      <c r="B80" s="137" t="s">
        <v>80</v>
      </c>
      <c r="C80" s="181" t="s">
        <v>201</v>
      </c>
      <c r="D80" s="181" t="s">
        <v>202</v>
      </c>
      <c r="E80" s="179" t="s">
        <v>44</v>
      </c>
      <c r="F80" s="72">
        <f t="shared" si="15"/>
        <v>4271.1817168338912</v>
      </c>
      <c r="G80" s="72">
        <f t="shared" si="15"/>
        <v>4271.1817168338912</v>
      </c>
      <c r="H80" s="182">
        <v>45975</v>
      </c>
      <c r="I80" s="178">
        <v>45975</v>
      </c>
      <c r="J80" s="148"/>
      <c r="K80" s="226" t="s">
        <v>203</v>
      </c>
      <c r="L80" s="73" t="s">
        <v>22</v>
      </c>
      <c r="M80" s="19"/>
      <c r="N80" s="19"/>
      <c r="O80" s="19"/>
      <c r="P80" s="19"/>
      <c r="Q80" s="19"/>
    </row>
    <row r="81" spans="1:17" s="20" customFormat="1" ht="14.1" customHeight="1" x14ac:dyDescent="0.45">
      <c r="A81" s="73"/>
      <c r="B81" s="228" t="s">
        <v>84</v>
      </c>
      <c r="C81" s="228"/>
      <c r="D81" s="228"/>
      <c r="E81" s="228"/>
      <c r="F81" s="228"/>
      <c r="G81" s="228"/>
      <c r="H81" s="228"/>
      <c r="I81" s="147">
        <f>SUM(I68:I80)</f>
        <v>2493606</v>
      </c>
      <c r="J81" s="147"/>
      <c r="K81" s="147"/>
      <c r="L81" s="73"/>
      <c r="M81" s="19"/>
      <c r="N81" s="19"/>
      <c r="O81" s="19"/>
      <c r="P81" s="19"/>
      <c r="Q81" s="19"/>
    </row>
    <row r="82" spans="1:17" s="20" customFormat="1" ht="15" customHeight="1" x14ac:dyDescent="0.45">
      <c r="A82" s="68"/>
      <c r="B82" s="227" t="s">
        <v>76</v>
      </c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19"/>
      <c r="N82" s="19"/>
      <c r="O82" s="19"/>
      <c r="P82" s="19"/>
      <c r="Q82" s="19"/>
    </row>
    <row r="83" spans="1:17" s="12" customFormat="1" ht="14.1" customHeight="1" x14ac:dyDescent="0.45">
      <c r="A83" s="73">
        <v>1</v>
      </c>
      <c r="B83" s="137" t="s">
        <v>77</v>
      </c>
      <c r="C83" s="137" t="s">
        <v>277</v>
      </c>
      <c r="D83" s="137" t="s">
        <v>278</v>
      </c>
      <c r="E83" s="73" t="s">
        <v>181</v>
      </c>
      <c r="F83" s="72">
        <f>H83/10.764</f>
        <v>5534.4667409884805</v>
      </c>
      <c r="G83" s="72">
        <f>I83/10.764</f>
        <v>5534.4667409884805</v>
      </c>
      <c r="H83" s="72">
        <v>59573</v>
      </c>
      <c r="I83" s="72">
        <v>59573</v>
      </c>
      <c r="J83" s="72"/>
      <c r="K83" s="72"/>
      <c r="L83" s="73" t="s">
        <v>34</v>
      </c>
      <c r="M83" s="75"/>
      <c r="N83" s="75"/>
      <c r="O83" s="75"/>
      <c r="P83" s="75"/>
      <c r="Q83" s="75"/>
    </row>
    <row r="84" spans="1:17" s="12" customFormat="1" ht="14.1" customHeight="1" x14ac:dyDescent="0.45">
      <c r="A84" s="73">
        <v>2</v>
      </c>
      <c r="B84" s="137" t="s">
        <v>77</v>
      </c>
      <c r="C84" s="138" t="s">
        <v>69</v>
      </c>
      <c r="D84" s="138" t="s">
        <v>276</v>
      </c>
      <c r="E84" s="73" t="s">
        <v>44</v>
      </c>
      <c r="F84" s="72">
        <f>H84/10.764</f>
        <v>11539.855072463768</v>
      </c>
      <c r="G84" s="72">
        <f>I84/10.764</f>
        <v>11539.855072463768</v>
      </c>
      <c r="H84" s="72">
        <v>124215</v>
      </c>
      <c r="I84" s="72">
        <v>124215</v>
      </c>
      <c r="J84" s="72"/>
      <c r="K84" s="72"/>
      <c r="L84" s="73" t="s">
        <v>22</v>
      </c>
      <c r="M84" s="75"/>
      <c r="N84" s="75"/>
      <c r="O84" s="75"/>
      <c r="P84" s="75"/>
      <c r="Q84" s="75"/>
    </row>
    <row r="85" spans="1:17" s="20" customFormat="1" ht="14.1" customHeight="1" x14ac:dyDescent="0.45">
      <c r="A85" s="73"/>
      <c r="B85" s="228" t="s">
        <v>204</v>
      </c>
      <c r="C85" s="228"/>
      <c r="D85" s="228"/>
      <c r="E85" s="228"/>
      <c r="F85" s="228"/>
      <c r="G85" s="228"/>
      <c r="H85" s="228"/>
      <c r="I85" s="147">
        <f>SUM(I83:I84)</f>
        <v>183788</v>
      </c>
      <c r="J85" s="147"/>
      <c r="K85" s="147"/>
      <c r="L85" s="73"/>
      <c r="M85" s="19"/>
      <c r="N85" s="19"/>
      <c r="O85" s="19"/>
      <c r="P85" s="19"/>
      <c r="Q85" s="19"/>
    </row>
    <row r="86" spans="1:17" ht="14.25" x14ac:dyDescent="0.45">
      <c r="A86" s="183"/>
      <c r="B86" s="233" t="s">
        <v>88</v>
      </c>
      <c r="C86" s="233"/>
      <c r="D86" s="233"/>
      <c r="E86" s="233"/>
      <c r="F86" s="233"/>
      <c r="G86" s="233"/>
      <c r="H86" s="233"/>
      <c r="I86" s="24">
        <f>I25+I36+I41+I50+I57+I66+I81+I85</f>
        <v>9589477</v>
      </c>
      <c r="J86" s="24"/>
      <c r="K86" s="24"/>
      <c r="L86" s="23"/>
    </row>
    <row r="87" spans="1:17" ht="15" customHeight="1" x14ac:dyDescent="0.45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</row>
    <row r="89" spans="1:17" ht="14.25" x14ac:dyDescent="0.45">
      <c r="F89" s="26"/>
    </row>
  </sheetData>
  <autoFilter ref="A4:L86" xr:uid="{DFB0C4B3-5270-44E0-AB2A-4AB85ABC7801}"/>
  <mergeCells count="19">
    <mergeCell ref="B81:H81"/>
    <mergeCell ref="B85:H85"/>
    <mergeCell ref="B86:H86"/>
    <mergeCell ref="B41:H41"/>
    <mergeCell ref="B50:H50"/>
    <mergeCell ref="B57:H57"/>
    <mergeCell ref="B67:L67"/>
    <mergeCell ref="B51:L51"/>
    <mergeCell ref="B58:L58"/>
    <mergeCell ref="B82:L82"/>
    <mergeCell ref="B66:H66"/>
    <mergeCell ref="B5:L5"/>
    <mergeCell ref="B26:L26"/>
    <mergeCell ref="B37:L37"/>
    <mergeCell ref="B42:L42"/>
    <mergeCell ref="A1:L1"/>
    <mergeCell ref="A2:L2"/>
    <mergeCell ref="B25:H25"/>
    <mergeCell ref="B36:H36"/>
  </mergeCells>
  <conditionalFormatting sqref="I6:I24">
    <cfRule type="top10" dxfId="8" priority="20" rank="1"/>
  </conditionalFormatting>
  <conditionalFormatting sqref="I59:I65">
    <cfRule type="top10" dxfId="7" priority="1" rank="1"/>
  </conditionalFormatting>
  <conditionalFormatting sqref="I27:I35">
    <cfRule type="top10" dxfId="6" priority="22" rank="1"/>
  </conditionalFormatting>
  <conditionalFormatting sqref="I43:I49">
    <cfRule type="top10" dxfId="5" priority="23" rank="1"/>
  </conditionalFormatting>
  <hyperlinks>
    <hyperlink ref="K38" r:id="rId1" xr:uid="{E855C6C8-9AAD-45FB-BBB6-D977C32F4C69}"/>
    <hyperlink ref="K59" r:id="rId2" xr:uid="{66842B6B-9C3A-4F59-8BA3-C1823192EE51}"/>
    <hyperlink ref="K27" r:id="rId3" xr:uid="{09FEE2F6-ADEA-406F-BB7F-580A3F893B36}"/>
    <hyperlink ref="K13" r:id="rId4" xr:uid="{2301D278-8FF8-455F-AE8F-9BBC65FBC38D}"/>
    <hyperlink ref="K64" r:id="rId5" xr:uid="{EDBE921D-D1FC-4D9F-B46D-E13B43D7AB5F}"/>
    <hyperlink ref="K28" r:id="rId6" xr:uid="{B6C526D3-1CD5-4B11-9690-219BA72B1AE0}"/>
    <hyperlink ref="K17" r:id="rId7" xr:uid="{5CDB3B48-9067-4CE4-9EF4-F360ABF9ADB8}"/>
    <hyperlink ref="K18" r:id="rId8" xr:uid="{CFFDC8BC-9413-44D0-BC7F-709B903207A4}"/>
    <hyperlink ref="K48" r:id="rId9" xr:uid="{C5C43BD0-0004-4443-9E3D-BA9E61B941BE}"/>
    <hyperlink ref="K39" r:id="rId10" xr:uid="{2CCDC047-E3C6-40B7-BE5C-775F12F3B62B}"/>
    <hyperlink ref="K78" r:id="rId11" xr:uid="{766ED9D7-4464-431C-8F37-DD086A1532E2}"/>
    <hyperlink ref="K21" r:id="rId12" xr:uid="{3661BC17-1BFC-4C9F-8AEE-B2445DE4F780}"/>
    <hyperlink ref="K35" r:id="rId13" xr:uid="{4EE85FD7-130B-49A4-B197-4F9A4F14854C}"/>
    <hyperlink ref="K40" r:id="rId14" xr:uid="{1559A2C7-1698-466D-8211-B1A9A583D607}"/>
    <hyperlink ref="K80" r:id="rId15" xr:uid="{815A47FC-A9DE-488C-AE3D-30717C7DB5BC}"/>
    <hyperlink ref="K11" r:id="rId16" display="https://www.solili.mx/nave/cid-dn-01-monterrey-mty/32298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18018905826128%2C%22lng%22%3A-100.11400334443078%7D%2C%22ne%22%3A%7B%22lat%22%3A25.734018905826126%2C%22lng%22%3A-100.09600334443078%7D%7D%2C%22center%22%3A%7B%22lat%22%3A25.726018905826127%2C%22lng%22%3A-100.10500334443078%7D%2C%22zoom%22%3A15%7D&amp;shape_data=&amp;order_by=&amp;verified=false" xr:uid="{4927BA75-5F5D-41CB-92CB-76F54A24F32D}"/>
    <hyperlink ref="K8" r:id="rId17" display="https://www.solili.mx/nave/ap08-monterrey-mty/32334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848600526326%2C%22lng%22%3A-100.14051779509454%7D%2C%22ne%22%3A%7B%22lat%22%3A25.754486005263256%2C%22lng%22%3A-100.12251779509454%7D%7D%2C%22center%22%3A%7B%22lat%22%3A25.746486005263257%2C%22lng%22%3A-100.13151779509454%7D%2C%22zoom%22%3A15%7D&amp;shape_data=&amp;order_by=&amp;verified=false" xr:uid="{F5689CA4-126E-4420-90C3-2BABC2FC4E97}"/>
    <hyperlink ref="K9" r:id="rId18" display="https://www.solili.mx/nave/ap10-monterrey-mty/32247/?lang=en&amp;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4730000000003%2C%22lng%22%3A-100.13852%7D%2C%22ne%22%3A%7B%22lat%22%3A25.75073%2C%22lng%22%3A-100.12052%7D%7D%2C%22center%22%3A%7B%22lat%22%3A25.74273%2C%22lng%22%3A-100.12952%7D%2C%22zoom%22%3A15%7D&amp;shape_data=&amp;order_by=&amp;verified=false" xr:uid="{57E2DCC4-084D-48CF-B5A6-7B974380ACFB}"/>
    <hyperlink ref="K10" r:id="rId19" display="https://www.solili.mx/nave-en-renta/ap-11-monterrey-mty/4072/?search_type=space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735214%2C%22lng%22%3A-100.140162%7D%2C%22ne%22%3A%7B%22lat%22%3A25.751213999999997%2C%22lng%22%3A-100.122162%7D%7D%2C%22center%22%3A%7B%22lat%22%3A25.743214%2C%22lng%22%3A-100.131162%7D%2C%22zoom%22%3A15%7D&amp;shape_data=&amp;order_by=&amp;verified=false" xr:uid="{9E94BC19-84B5-4752-A0AC-652D36C93C71}"/>
    <hyperlink ref="K61" r:id="rId20" xr:uid="{CAFCCDA8-5085-450C-AA7F-B7FB62EC6A42}"/>
  </hyperlinks>
  <pageMargins left="0.70866141732283472" right="0.70866141732283472" top="0.74803149606299213" bottom="0.74803149606299213" header="0.31496062992125984" footer="0.31496062992125984"/>
  <pageSetup paperSize="17" scale="85" orientation="landscape" r:id="rId21"/>
  <legacy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B1F1-AB2D-4BAF-A100-22805A4BEB38}">
  <sheetPr codeName="Hoja3"/>
  <dimension ref="A1:S256"/>
  <sheetViews>
    <sheetView topLeftCell="B4" zoomScale="106" zoomScaleNormal="80" workbookViewId="0">
      <selection activeCell="I18" sqref="I18"/>
    </sheetView>
  </sheetViews>
  <sheetFormatPr baseColWidth="10" defaultColWidth="11.3984375" defaultRowHeight="15" customHeight="1" x14ac:dyDescent="0.45"/>
  <cols>
    <col min="1" max="1" width="2.73046875" style="110" customWidth="1"/>
    <col min="2" max="2" width="17.86328125" bestFit="1" customWidth="1"/>
    <col min="3" max="3" width="19.59765625" customWidth="1"/>
    <col min="4" max="4" width="39.1328125" customWidth="1"/>
    <col min="5" max="5" width="29.59765625" style="87" customWidth="1"/>
    <col min="6" max="6" width="17" customWidth="1"/>
    <col min="7" max="8" width="13.73046875" customWidth="1"/>
    <col min="9" max="9" width="12.53125" style="110" customWidth="1"/>
    <col min="10" max="10" width="11.33203125" style="110" customWidth="1"/>
    <col min="11" max="11" width="12.86328125" style="110" customWidth="1"/>
    <col min="12" max="12" width="12.6640625" customWidth="1"/>
    <col min="13" max="13" width="13.46484375" customWidth="1"/>
    <col min="14" max="14" width="22.59765625" customWidth="1"/>
    <col min="15" max="16" width="12.59765625" style="110" customWidth="1"/>
    <col min="17" max="17" width="8.1328125" style="97" customWidth="1"/>
  </cols>
  <sheetData>
    <row r="1" spans="1:19" s="20" customFormat="1" ht="21.75" x14ac:dyDescent="0.45">
      <c r="A1" s="21"/>
      <c r="B1" s="234" t="s">
        <v>0</v>
      </c>
      <c r="C1" s="234"/>
      <c r="D1" s="234"/>
      <c r="E1" s="234"/>
      <c r="F1" s="234"/>
      <c r="G1" s="234"/>
      <c r="H1" s="234"/>
      <c r="I1" s="235"/>
      <c r="J1" s="235"/>
      <c r="K1" s="235"/>
      <c r="L1" s="235"/>
      <c r="M1" s="235"/>
      <c r="N1" s="234"/>
      <c r="O1" s="234"/>
      <c r="P1" s="133"/>
    </row>
    <row r="2" spans="1:19" s="20" customFormat="1" ht="14.65" x14ac:dyDescent="0.45">
      <c r="A2" s="21"/>
      <c r="B2" s="230" t="s">
        <v>205</v>
      </c>
      <c r="C2" s="230"/>
      <c r="D2" s="230"/>
      <c r="E2" s="230"/>
      <c r="F2" s="230"/>
      <c r="G2" s="230"/>
      <c r="H2" s="230"/>
      <c r="I2" s="236"/>
      <c r="J2" s="236"/>
      <c r="K2" s="236"/>
      <c r="L2" s="236"/>
      <c r="M2" s="236"/>
      <c r="N2" s="230"/>
      <c r="O2" s="230"/>
      <c r="P2" s="132"/>
    </row>
    <row r="3" spans="1:19" s="21" customFormat="1" ht="15" customHeight="1" x14ac:dyDescent="0.45">
      <c r="E3" s="94"/>
      <c r="L3" s="27"/>
      <c r="M3" s="27"/>
    </row>
    <row r="4" spans="1:19" s="119" customFormat="1" ht="15.75" x14ac:dyDescent="0.45">
      <c r="A4" s="6"/>
      <c r="B4" s="184" t="s">
        <v>1</v>
      </c>
      <c r="C4" s="7" t="s">
        <v>90</v>
      </c>
      <c r="D4" s="7" t="s">
        <v>91</v>
      </c>
      <c r="E4" s="7" t="s">
        <v>92</v>
      </c>
      <c r="F4" s="7" t="s">
        <v>6</v>
      </c>
      <c r="G4" s="7" t="s">
        <v>7</v>
      </c>
      <c r="H4" s="7" t="s">
        <v>206</v>
      </c>
      <c r="I4" s="7" t="s">
        <v>207</v>
      </c>
      <c r="J4" s="7" t="s">
        <v>208</v>
      </c>
      <c r="K4" s="7" t="s">
        <v>209</v>
      </c>
      <c r="L4" s="7" t="s">
        <v>210</v>
      </c>
      <c r="M4" s="7" t="s">
        <v>487</v>
      </c>
      <c r="N4" s="8" t="s">
        <v>97</v>
      </c>
      <c r="O4" s="8" t="s">
        <v>206</v>
      </c>
      <c r="P4" s="8" t="s">
        <v>98</v>
      </c>
      <c r="Q4" s="7" t="s">
        <v>18</v>
      </c>
    </row>
    <row r="5" spans="1:19" s="20" customFormat="1" ht="18" customHeight="1" x14ac:dyDescent="0.45">
      <c r="A5" s="68"/>
      <c r="B5" s="227" t="s">
        <v>19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</row>
    <row r="6" spans="1:19" s="12" customFormat="1" ht="14.25" x14ac:dyDescent="0.35">
      <c r="A6" s="16">
        <v>1</v>
      </c>
      <c r="B6" s="137" t="s">
        <v>20</v>
      </c>
      <c r="C6" s="141" t="s">
        <v>211</v>
      </c>
      <c r="D6" s="141" t="s">
        <v>100</v>
      </c>
      <c r="E6" s="73" t="s">
        <v>27</v>
      </c>
      <c r="F6" s="72">
        <f t="shared" ref="F6:F11" si="0">G6/10.764</f>
        <v>9296.8227424749166</v>
      </c>
      <c r="G6" s="72">
        <v>100071</v>
      </c>
      <c r="H6" s="72">
        <v>100071</v>
      </c>
      <c r="I6" s="72" t="s">
        <v>135</v>
      </c>
      <c r="J6" s="72">
        <v>3</v>
      </c>
      <c r="K6" s="73">
        <v>2</v>
      </c>
      <c r="L6" s="72" t="s">
        <v>212</v>
      </c>
      <c r="M6" s="72"/>
      <c r="N6" s="162" t="s">
        <v>483</v>
      </c>
      <c r="O6" s="73" t="s">
        <v>213</v>
      </c>
      <c r="P6" s="185" t="s">
        <v>214</v>
      </c>
      <c r="Q6" s="73" t="s">
        <v>22</v>
      </c>
    </row>
    <row r="7" spans="1:19" s="12" customFormat="1" ht="14.25" x14ac:dyDescent="0.35">
      <c r="A7" s="16">
        <v>2</v>
      </c>
      <c r="B7" s="137" t="s">
        <v>20</v>
      </c>
      <c r="C7" s="141" t="s">
        <v>401</v>
      </c>
      <c r="D7" s="141" t="s">
        <v>100</v>
      </c>
      <c r="E7" s="73" t="s">
        <v>27</v>
      </c>
      <c r="F7" s="72">
        <f t="shared" si="0"/>
        <v>20086.584912671871</v>
      </c>
      <c r="G7" s="72">
        <v>216212</v>
      </c>
      <c r="H7" s="72">
        <v>216212</v>
      </c>
      <c r="I7" s="72"/>
      <c r="J7" s="72"/>
      <c r="K7" s="73"/>
      <c r="L7" s="72"/>
      <c r="M7" s="72"/>
      <c r="N7" s="162" t="s">
        <v>484</v>
      </c>
      <c r="O7" s="73" t="s">
        <v>245</v>
      </c>
      <c r="P7" s="185"/>
      <c r="Q7" s="73" t="s">
        <v>22</v>
      </c>
    </row>
    <row r="8" spans="1:19" s="12" customFormat="1" ht="14.25" x14ac:dyDescent="0.35">
      <c r="A8" s="16">
        <v>3</v>
      </c>
      <c r="B8" s="137" t="s">
        <v>20</v>
      </c>
      <c r="C8" s="141" t="s">
        <v>215</v>
      </c>
      <c r="D8" s="141" t="s">
        <v>216</v>
      </c>
      <c r="E8" s="73" t="s">
        <v>217</v>
      </c>
      <c r="F8" s="72">
        <f t="shared" si="0"/>
        <v>27330.732069862508</v>
      </c>
      <c r="G8" s="72">
        <v>294188</v>
      </c>
      <c r="H8" s="72">
        <v>294188</v>
      </c>
      <c r="I8" s="72" t="s">
        <v>218</v>
      </c>
      <c r="J8" s="72"/>
      <c r="K8" s="73">
        <v>4</v>
      </c>
      <c r="L8" s="72"/>
      <c r="M8" s="72"/>
      <c r="N8" s="137"/>
      <c r="O8" s="73" t="s">
        <v>213</v>
      </c>
      <c r="P8" s="185" t="s">
        <v>220</v>
      </c>
      <c r="Q8" s="73" t="s">
        <v>22</v>
      </c>
    </row>
    <row r="9" spans="1:19" s="12" customFormat="1" ht="14.25" x14ac:dyDescent="0.35">
      <c r="A9" s="16">
        <v>4</v>
      </c>
      <c r="B9" s="137" t="s">
        <v>20</v>
      </c>
      <c r="C9" s="141" t="s">
        <v>139</v>
      </c>
      <c r="D9" s="141" t="s">
        <v>404</v>
      </c>
      <c r="E9" s="73" t="s">
        <v>134</v>
      </c>
      <c r="F9" s="72">
        <f t="shared" si="0"/>
        <v>18844.946116685249</v>
      </c>
      <c r="G9" s="72">
        <v>202847</v>
      </c>
      <c r="H9" s="72">
        <v>202847</v>
      </c>
      <c r="I9" s="72"/>
      <c r="J9" s="72"/>
      <c r="K9" s="73"/>
      <c r="L9" s="72"/>
      <c r="M9" s="72"/>
      <c r="N9" s="137"/>
      <c r="O9" s="73" t="s">
        <v>213</v>
      </c>
      <c r="P9" s="185"/>
      <c r="Q9" s="73" t="s">
        <v>22</v>
      </c>
    </row>
    <row r="10" spans="1:19" s="12" customFormat="1" ht="14.25" x14ac:dyDescent="0.35">
      <c r="A10" s="16">
        <v>5</v>
      </c>
      <c r="B10" s="137" t="s">
        <v>20</v>
      </c>
      <c r="C10" s="141" t="s">
        <v>142</v>
      </c>
      <c r="D10" s="141" t="s">
        <v>404</v>
      </c>
      <c r="E10" s="73" t="s">
        <v>134</v>
      </c>
      <c r="F10" s="72">
        <f t="shared" si="0"/>
        <v>25841.973244147157</v>
      </c>
      <c r="G10" s="72">
        <v>278163</v>
      </c>
      <c r="H10" s="72">
        <v>278163</v>
      </c>
      <c r="I10" s="72"/>
      <c r="J10" s="72"/>
      <c r="K10" s="73"/>
      <c r="L10" s="72"/>
      <c r="M10" s="72"/>
      <c r="N10" s="137"/>
      <c r="O10" s="73" t="s">
        <v>213</v>
      </c>
      <c r="P10" s="185"/>
      <c r="Q10" s="73" t="s">
        <v>34</v>
      </c>
    </row>
    <row r="11" spans="1:19" s="12" customFormat="1" ht="14.25" x14ac:dyDescent="0.35">
      <c r="A11" s="16">
        <v>6</v>
      </c>
      <c r="B11" s="137" t="s">
        <v>20</v>
      </c>
      <c r="C11" s="141" t="s">
        <v>449</v>
      </c>
      <c r="D11" s="141" t="s">
        <v>404</v>
      </c>
      <c r="E11" s="73" t="s">
        <v>134</v>
      </c>
      <c r="F11" s="72">
        <f t="shared" si="0"/>
        <v>6185.9903381642516</v>
      </c>
      <c r="G11" s="72">
        <v>66586</v>
      </c>
      <c r="H11" s="72">
        <v>66586</v>
      </c>
      <c r="I11" s="72"/>
      <c r="J11" s="72"/>
      <c r="K11" s="73"/>
      <c r="L11" s="72"/>
      <c r="M11" s="72"/>
      <c r="N11" s="137"/>
      <c r="O11" s="73" t="s">
        <v>213</v>
      </c>
      <c r="P11" s="185"/>
      <c r="Q11" s="73" t="s">
        <v>22</v>
      </c>
    </row>
    <row r="12" spans="1:19" s="255" customFormat="1" ht="14.25" x14ac:dyDescent="0.45">
      <c r="A12" s="16">
        <v>7</v>
      </c>
      <c r="B12" s="247" t="s">
        <v>20</v>
      </c>
      <c r="C12" s="247" t="s">
        <v>228</v>
      </c>
      <c r="D12" s="247" t="s">
        <v>102</v>
      </c>
      <c r="E12" s="246" t="s">
        <v>103</v>
      </c>
      <c r="F12" s="249">
        <f t="shared" ref="F12:F27" si="1">G12/10.764</f>
        <v>25554.626532887403</v>
      </c>
      <c r="G12" s="249">
        <v>275070</v>
      </c>
      <c r="H12" s="249">
        <v>275070</v>
      </c>
      <c r="I12" s="249" t="s">
        <v>135</v>
      </c>
      <c r="J12" s="249">
        <v>16</v>
      </c>
      <c r="K12" s="249">
        <v>2</v>
      </c>
      <c r="L12" s="249" t="s">
        <v>212</v>
      </c>
      <c r="M12" s="249"/>
      <c r="N12" s="257"/>
      <c r="O12" s="258" t="s">
        <v>213</v>
      </c>
      <c r="P12" s="259" t="s">
        <v>229</v>
      </c>
      <c r="Q12" s="246" t="s">
        <v>22</v>
      </c>
    </row>
    <row r="13" spans="1:19" s="255" customFormat="1" ht="14.25" x14ac:dyDescent="0.45">
      <c r="A13" s="16">
        <v>8</v>
      </c>
      <c r="B13" s="247" t="s">
        <v>20</v>
      </c>
      <c r="C13" s="247" t="s">
        <v>397</v>
      </c>
      <c r="D13" s="247" t="s">
        <v>396</v>
      </c>
      <c r="E13" s="246" t="s">
        <v>332</v>
      </c>
      <c r="F13" s="249">
        <f t="shared" si="1"/>
        <v>27593.73838721665</v>
      </c>
      <c r="G13" s="249">
        <v>297019</v>
      </c>
      <c r="H13" s="249">
        <v>297019</v>
      </c>
      <c r="I13" s="249"/>
      <c r="J13" s="249"/>
      <c r="K13" s="249"/>
      <c r="L13" s="249"/>
      <c r="M13" s="249"/>
      <c r="N13" s="257"/>
      <c r="O13" s="258" t="s">
        <v>245</v>
      </c>
      <c r="P13" s="259"/>
      <c r="Q13" s="246" t="s">
        <v>22</v>
      </c>
    </row>
    <row r="14" spans="1:19" s="255" customFormat="1" ht="14.25" x14ac:dyDescent="0.45">
      <c r="A14" s="16">
        <v>9</v>
      </c>
      <c r="B14" s="247" t="s">
        <v>20</v>
      </c>
      <c r="C14" s="247" t="s">
        <v>231</v>
      </c>
      <c r="D14" s="247" t="s">
        <v>232</v>
      </c>
      <c r="E14" s="246" t="s">
        <v>233</v>
      </c>
      <c r="F14" s="249">
        <f t="shared" si="1"/>
        <v>21012.634708286885</v>
      </c>
      <c r="G14" s="249">
        <v>226180</v>
      </c>
      <c r="H14" s="249">
        <v>226180</v>
      </c>
      <c r="I14" s="249" t="s">
        <v>218</v>
      </c>
      <c r="J14" s="249">
        <v>16</v>
      </c>
      <c r="K14" s="249">
        <v>4</v>
      </c>
      <c r="L14" s="249" t="s">
        <v>212</v>
      </c>
      <c r="M14" s="249"/>
      <c r="N14" s="257"/>
      <c r="O14" s="258" t="s">
        <v>213</v>
      </c>
      <c r="P14" s="259"/>
      <c r="Q14" s="246" t="s">
        <v>34</v>
      </c>
    </row>
    <row r="15" spans="1:19" s="255" customFormat="1" ht="26.25" x14ac:dyDescent="0.45">
      <c r="A15" s="16">
        <v>10</v>
      </c>
      <c r="B15" s="247" t="s">
        <v>20</v>
      </c>
      <c r="C15" s="247" t="s">
        <v>234</v>
      </c>
      <c r="D15" s="247" t="s">
        <v>235</v>
      </c>
      <c r="E15" s="246" t="s">
        <v>38</v>
      </c>
      <c r="F15" s="249">
        <f t="shared" si="1"/>
        <v>41806.020066889636</v>
      </c>
      <c r="G15" s="249">
        <v>450000</v>
      </c>
      <c r="H15" s="249">
        <v>135000</v>
      </c>
      <c r="I15" s="249" t="s">
        <v>524</v>
      </c>
      <c r="J15" s="249"/>
      <c r="K15" s="249">
        <v>2</v>
      </c>
      <c r="L15" s="249"/>
      <c r="M15" s="249"/>
      <c r="N15" s="257" t="s">
        <v>236</v>
      </c>
      <c r="O15" s="258" t="s">
        <v>213</v>
      </c>
      <c r="P15" s="260"/>
      <c r="Q15" s="246" t="s">
        <v>22</v>
      </c>
      <c r="S15" s="261"/>
    </row>
    <row r="16" spans="1:19" s="255" customFormat="1" ht="13.15" x14ac:dyDescent="0.45">
      <c r="A16" s="16">
        <v>11</v>
      </c>
      <c r="B16" s="247" t="s">
        <v>20</v>
      </c>
      <c r="C16" s="247" t="s">
        <v>405</v>
      </c>
      <c r="D16" s="247" t="s">
        <v>235</v>
      </c>
      <c r="E16" s="246" t="s">
        <v>38</v>
      </c>
      <c r="F16" s="249">
        <f t="shared" si="1"/>
        <v>22575.250836120402</v>
      </c>
      <c r="G16" s="249">
        <v>243000</v>
      </c>
      <c r="H16" s="249">
        <v>243000</v>
      </c>
      <c r="I16" s="249"/>
      <c r="J16" s="249"/>
      <c r="K16" s="249"/>
      <c r="L16" s="249"/>
      <c r="M16" s="249"/>
      <c r="N16" s="257"/>
      <c r="O16" s="258" t="s">
        <v>213</v>
      </c>
      <c r="P16" s="260"/>
      <c r="Q16" s="246" t="s">
        <v>22</v>
      </c>
      <c r="S16" s="261"/>
    </row>
    <row r="17" spans="1:19" s="262" customFormat="1" ht="13.15" x14ac:dyDescent="0.45">
      <c r="A17" s="16">
        <v>12</v>
      </c>
      <c r="B17" s="247" t="s">
        <v>20</v>
      </c>
      <c r="C17" s="247" t="s">
        <v>250</v>
      </c>
      <c r="D17" s="247" t="s">
        <v>251</v>
      </c>
      <c r="E17" s="246" t="s">
        <v>252</v>
      </c>
      <c r="F17" s="249">
        <f t="shared" si="1"/>
        <v>33163.786696395393</v>
      </c>
      <c r="G17" s="249">
        <v>356975</v>
      </c>
      <c r="H17" s="249">
        <v>356975</v>
      </c>
      <c r="I17" s="249" t="s">
        <v>524</v>
      </c>
      <c r="J17" s="249"/>
      <c r="K17" s="249"/>
      <c r="L17" s="249"/>
      <c r="M17" s="249"/>
      <c r="N17" s="257"/>
      <c r="O17" s="258" t="s">
        <v>245</v>
      </c>
      <c r="P17" s="260"/>
      <c r="Q17" s="246" t="s">
        <v>22</v>
      </c>
      <c r="S17" s="263"/>
    </row>
    <row r="18" spans="1:19" s="262" customFormat="1" ht="13.15" x14ac:dyDescent="0.45">
      <c r="A18" s="16">
        <v>13</v>
      </c>
      <c r="B18" s="247" t="s">
        <v>20</v>
      </c>
      <c r="C18" s="247" t="s">
        <v>253</v>
      </c>
      <c r="D18" s="247" t="s">
        <v>251</v>
      </c>
      <c r="E18" s="246" t="s">
        <v>252</v>
      </c>
      <c r="F18" s="249">
        <f t="shared" si="1"/>
        <v>12407.469342251952</v>
      </c>
      <c r="G18" s="249">
        <v>133554</v>
      </c>
      <c r="H18" s="249">
        <v>133554</v>
      </c>
      <c r="I18" s="249" t="s">
        <v>524</v>
      </c>
      <c r="J18" s="249"/>
      <c r="K18" s="249"/>
      <c r="L18" s="249"/>
      <c r="M18" s="249"/>
      <c r="N18" s="257"/>
      <c r="O18" s="258" t="s">
        <v>245</v>
      </c>
      <c r="P18" s="260"/>
      <c r="Q18" s="246" t="s">
        <v>22</v>
      </c>
      <c r="S18" s="263"/>
    </row>
    <row r="19" spans="1:19" s="93" customFormat="1" ht="13.15" x14ac:dyDescent="0.45">
      <c r="A19" s="16">
        <v>14</v>
      </c>
      <c r="B19" s="137" t="s">
        <v>20</v>
      </c>
      <c r="C19" s="137" t="s">
        <v>457</v>
      </c>
      <c r="D19" s="137" t="s">
        <v>456</v>
      </c>
      <c r="E19" s="73" t="s">
        <v>41</v>
      </c>
      <c r="F19" s="72">
        <f t="shared" si="1"/>
        <v>8890.9327387588255</v>
      </c>
      <c r="G19" s="72">
        <v>95702</v>
      </c>
      <c r="H19" s="72">
        <v>95702</v>
      </c>
      <c r="I19" s="72"/>
      <c r="J19" s="72"/>
      <c r="K19" s="72"/>
      <c r="L19" s="72"/>
      <c r="M19" s="72"/>
      <c r="N19" s="177"/>
      <c r="O19" s="187" t="s">
        <v>213</v>
      </c>
      <c r="P19" s="188"/>
      <c r="Q19" s="73" t="s">
        <v>22</v>
      </c>
      <c r="S19" s="123"/>
    </row>
    <row r="20" spans="1:19" s="93" customFormat="1" ht="13.15" x14ac:dyDescent="0.45">
      <c r="A20" s="16">
        <v>15</v>
      </c>
      <c r="B20" s="137" t="s">
        <v>20</v>
      </c>
      <c r="C20" s="137" t="s">
        <v>478</v>
      </c>
      <c r="D20" s="137" t="s">
        <v>476</v>
      </c>
      <c r="E20" s="73" t="s">
        <v>477</v>
      </c>
      <c r="F20" s="72">
        <f t="shared" si="1"/>
        <v>30781.679672984024</v>
      </c>
      <c r="G20" s="72">
        <v>331334</v>
      </c>
      <c r="H20" s="72">
        <v>331334</v>
      </c>
      <c r="I20" s="72"/>
      <c r="J20" s="72"/>
      <c r="K20" s="72"/>
      <c r="L20" s="72"/>
      <c r="M20" s="72"/>
      <c r="N20" s="177"/>
      <c r="O20" s="187" t="s">
        <v>213</v>
      </c>
      <c r="P20" s="188"/>
      <c r="Q20" s="73" t="s">
        <v>34</v>
      </c>
      <c r="S20" s="123"/>
    </row>
    <row r="21" spans="1:19" s="12" customFormat="1" ht="14.25" x14ac:dyDescent="0.45">
      <c r="A21" s="16">
        <v>16</v>
      </c>
      <c r="B21" s="137" t="s">
        <v>20</v>
      </c>
      <c r="C21" s="137" t="s">
        <v>237</v>
      </c>
      <c r="D21" s="137" t="s">
        <v>238</v>
      </c>
      <c r="E21" s="73" t="s">
        <v>42</v>
      </c>
      <c r="F21" s="72">
        <f t="shared" si="1"/>
        <v>19695.187662578966</v>
      </c>
      <c r="G21" s="72">
        <v>211999</v>
      </c>
      <c r="H21" s="72">
        <v>211999</v>
      </c>
      <c r="I21" s="72" t="s">
        <v>239</v>
      </c>
      <c r="J21" s="72">
        <v>10</v>
      </c>
      <c r="K21" s="72">
        <v>2</v>
      </c>
      <c r="L21" s="72" t="s">
        <v>212</v>
      </c>
      <c r="M21" s="72"/>
      <c r="N21" s="177"/>
      <c r="O21" s="69" t="s">
        <v>213</v>
      </c>
      <c r="P21" s="186" t="s">
        <v>240</v>
      </c>
      <c r="Q21" s="73" t="s">
        <v>22</v>
      </c>
      <c r="S21" s="131"/>
    </row>
    <row r="22" spans="1:19" s="12" customFormat="1" ht="14.25" x14ac:dyDescent="0.45">
      <c r="A22" s="16">
        <v>17</v>
      </c>
      <c r="B22" s="137" t="s">
        <v>20</v>
      </c>
      <c r="C22" s="137" t="s">
        <v>241</v>
      </c>
      <c r="D22" s="137" t="s">
        <v>238</v>
      </c>
      <c r="E22" s="73" t="s">
        <v>42</v>
      </c>
      <c r="F22" s="72">
        <f t="shared" si="1"/>
        <v>18782.887402452619</v>
      </c>
      <c r="G22" s="72">
        <v>202179</v>
      </c>
      <c r="H22" s="72">
        <v>202179</v>
      </c>
      <c r="I22" s="72" t="s">
        <v>242</v>
      </c>
      <c r="J22" s="72">
        <v>12</v>
      </c>
      <c r="K22" s="72">
        <v>2</v>
      </c>
      <c r="L22" s="72" t="s">
        <v>212</v>
      </c>
      <c r="M22" s="72"/>
      <c r="N22" s="177"/>
      <c r="O22" s="69" t="s">
        <v>213</v>
      </c>
      <c r="P22" s="186" t="s">
        <v>243</v>
      </c>
      <c r="Q22" s="73" t="s">
        <v>22</v>
      </c>
      <c r="S22" s="131"/>
    </row>
    <row r="23" spans="1:19" s="12" customFormat="1" ht="13.15" x14ac:dyDescent="0.45">
      <c r="A23" s="16">
        <v>18</v>
      </c>
      <c r="B23" s="137" t="s">
        <v>20</v>
      </c>
      <c r="C23" s="137" t="s">
        <v>244</v>
      </c>
      <c r="D23" s="137" t="s">
        <v>238</v>
      </c>
      <c r="E23" s="73" t="s">
        <v>42</v>
      </c>
      <c r="F23" s="72">
        <f t="shared" si="1"/>
        <v>67889.446302489785</v>
      </c>
      <c r="G23" s="72">
        <v>730762</v>
      </c>
      <c r="H23" s="72">
        <v>730762</v>
      </c>
      <c r="I23" s="73"/>
      <c r="J23" s="73"/>
      <c r="K23" s="73"/>
      <c r="L23" s="73"/>
      <c r="M23" s="73"/>
      <c r="N23" s="137"/>
      <c r="O23" s="73" t="s">
        <v>245</v>
      </c>
      <c r="P23" s="160"/>
      <c r="Q23" s="73" t="s">
        <v>22</v>
      </c>
      <c r="S23" s="131"/>
    </row>
    <row r="24" spans="1:19" s="12" customFormat="1" ht="13.15" x14ac:dyDescent="0.45">
      <c r="A24" s="16">
        <v>19</v>
      </c>
      <c r="B24" s="137" t="s">
        <v>20</v>
      </c>
      <c r="C24" s="137" t="s">
        <v>517</v>
      </c>
      <c r="D24" s="285" t="s">
        <v>518</v>
      </c>
      <c r="E24" s="73" t="s">
        <v>44</v>
      </c>
      <c r="F24" s="72">
        <f t="shared" si="1"/>
        <v>4945.001858045337</v>
      </c>
      <c r="G24" s="72">
        <v>53228</v>
      </c>
      <c r="H24" s="72">
        <v>53228</v>
      </c>
      <c r="I24" s="73"/>
      <c r="J24" s="73"/>
      <c r="K24" s="73"/>
      <c r="L24" s="73"/>
      <c r="M24" s="73"/>
      <c r="N24" s="137"/>
      <c r="O24" s="73" t="s">
        <v>260</v>
      </c>
      <c r="P24" s="160"/>
      <c r="Q24" s="73" t="s">
        <v>22</v>
      </c>
      <c r="S24" s="131"/>
    </row>
    <row r="25" spans="1:19" s="12" customFormat="1" ht="13.15" customHeight="1" x14ac:dyDescent="0.45">
      <c r="A25" s="16">
        <v>20</v>
      </c>
      <c r="B25" s="137" t="s">
        <v>20</v>
      </c>
      <c r="C25" s="137" t="s">
        <v>519</v>
      </c>
      <c r="D25" s="285" t="s">
        <v>131</v>
      </c>
      <c r="E25" s="73" t="s">
        <v>44</v>
      </c>
      <c r="F25" s="72">
        <f t="shared" si="1"/>
        <v>7774.9907097733194</v>
      </c>
      <c r="G25" s="72">
        <v>83690</v>
      </c>
      <c r="H25" s="72">
        <v>83690</v>
      </c>
      <c r="I25" s="73"/>
      <c r="J25" s="73"/>
      <c r="K25" s="73"/>
      <c r="L25" s="73"/>
      <c r="M25" s="73"/>
      <c r="N25" s="137"/>
      <c r="O25" s="73" t="s">
        <v>260</v>
      </c>
      <c r="P25" s="160"/>
      <c r="Q25" s="73" t="s">
        <v>22</v>
      </c>
      <c r="S25" s="131"/>
    </row>
    <row r="26" spans="1:19" s="12" customFormat="1" ht="13.15" customHeight="1" x14ac:dyDescent="0.45">
      <c r="A26" s="16">
        <v>21</v>
      </c>
      <c r="B26" s="137" t="s">
        <v>20</v>
      </c>
      <c r="C26" s="137" t="s">
        <v>215</v>
      </c>
      <c r="D26" s="285" t="s">
        <v>520</v>
      </c>
      <c r="E26" s="73" t="s">
        <v>44</v>
      </c>
      <c r="F26" s="72">
        <f t="shared" si="1"/>
        <v>15725.009290226682</v>
      </c>
      <c r="G26" s="72">
        <v>169264</v>
      </c>
      <c r="H26" s="72">
        <v>169264</v>
      </c>
      <c r="I26" s="73"/>
      <c r="J26" s="73"/>
      <c r="K26" s="73"/>
      <c r="L26" s="73"/>
      <c r="M26" s="73"/>
      <c r="N26" s="137"/>
      <c r="O26" s="73" t="s">
        <v>245</v>
      </c>
      <c r="P26" s="160"/>
      <c r="Q26" s="73" t="s">
        <v>22</v>
      </c>
      <c r="S26" s="131"/>
    </row>
    <row r="27" spans="1:19" s="12" customFormat="1" ht="13.15" customHeight="1" x14ac:dyDescent="0.45">
      <c r="A27" s="16">
        <v>22</v>
      </c>
      <c r="B27" s="137" t="s">
        <v>20</v>
      </c>
      <c r="C27" s="137" t="s">
        <v>266</v>
      </c>
      <c r="D27" s="285" t="s">
        <v>520</v>
      </c>
      <c r="E27" s="73" t="s">
        <v>44</v>
      </c>
      <c r="F27" s="72">
        <f t="shared" si="1"/>
        <v>26019.973987365294</v>
      </c>
      <c r="G27" s="72">
        <v>280079</v>
      </c>
      <c r="H27" s="72">
        <v>280079</v>
      </c>
      <c r="I27" s="73"/>
      <c r="J27" s="73"/>
      <c r="K27" s="73"/>
      <c r="L27" s="73"/>
      <c r="M27" s="73"/>
      <c r="N27" s="137"/>
      <c r="O27" s="73" t="s">
        <v>245</v>
      </c>
      <c r="P27" s="160"/>
      <c r="Q27" s="73" t="s">
        <v>22</v>
      </c>
      <c r="S27" s="131"/>
    </row>
    <row r="28" spans="1:19" s="12" customFormat="1" ht="14.25" customHeight="1" x14ac:dyDescent="0.45">
      <c r="A28" s="73"/>
      <c r="B28" s="237" t="s">
        <v>45</v>
      </c>
      <c r="C28" s="237"/>
      <c r="D28" s="237"/>
      <c r="E28" s="237"/>
      <c r="F28" s="147">
        <f>SUM(F6:F27)</f>
        <v>492205.6856187291</v>
      </c>
      <c r="G28" s="147">
        <f>SUM(G6:G27)</f>
        <v>5298102</v>
      </c>
      <c r="H28" s="147">
        <f>SUM(H6:H27)</f>
        <v>4983102</v>
      </c>
      <c r="I28" s="147"/>
      <c r="J28" s="147"/>
      <c r="K28" s="147"/>
      <c r="L28" s="147"/>
      <c r="M28" s="147"/>
      <c r="N28" s="155"/>
      <c r="O28" s="137"/>
      <c r="P28" s="137"/>
      <c r="Q28" s="189"/>
      <c r="S28" s="124"/>
    </row>
    <row r="29" spans="1:19" s="20" customFormat="1" ht="18" customHeight="1" x14ac:dyDescent="0.45">
      <c r="A29" s="68"/>
      <c r="B29" s="227" t="s">
        <v>187</v>
      </c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</row>
    <row r="30" spans="1:19" s="102" customFormat="1" ht="13.5" customHeight="1" x14ac:dyDescent="0.45">
      <c r="A30" s="73">
        <v>1</v>
      </c>
      <c r="B30" s="138" t="s">
        <v>80</v>
      </c>
      <c r="C30" s="138" t="s">
        <v>155</v>
      </c>
      <c r="D30" s="138" t="s">
        <v>254</v>
      </c>
      <c r="E30" s="16" t="s">
        <v>255</v>
      </c>
      <c r="F30" s="139">
        <f>G30/10.764</f>
        <v>24454.570791527316</v>
      </c>
      <c r="G30" s="139">
        <v>263229</v>
      </c>
      <c r="H30" s="178">
        <v>263229</v>
      </c>
      <c r="I30" s="73" t="s">
        <v>218</v>
      </c>
      <c r="J30" s="156">
        <v>12</v>
      </c>
      <c r="K30" s="16">
        <v>2</v>
      </c>
      <c r="L30" s="73" t="s">
        <v>212</v>
      </c>
      <c r="M30" s="73"/>
      <c r="N30" s="190"/>
      <c r="O30" s="187" t="s">
        <v>213</v>
      </c>
      <c r="P30" s="135" t="s">
        <v>256</v>
      </c>
      <c r="Q30" s="16" t="s">
        <v>22</v>
      </c>
    </row>
    <row r="31" spans="1:19" s="20" customFormat="1" ht="13.5" customHeight="1" x14ac:dyDescent="0.45">
      <c r="A31" s="73">
        <v>2</v>
      </c>
      <c r="B31" s="137" t="s">
        <v>80</v>
      </c>
      <c r="C31" s="137" t="s">
        <v>259</v>
      </c>
      <c r="D31" s="137" t="s">
        <v>258</v>
      </c>
      <c r="E31" s="73" t="s">
        <v>48</v>
      </c>
      <c r="F31" s="72">
        <v>28000</v>
      </c>
      <c r="G31" s="139">
        <f>28000*10.764</f>
        <v>301392</v>
      </c>
      <c r="H31" s="178">
        <f>G31</f>
        <v>301392</v>
      </c>
      <c r="I31" s="73"/>
      <c r="J31" s="73"/>
      <c r="K31" s="73"/>
      <c r="L31" s="73"/>
      <c r="M31" s="73"/>
      <c r="N31" s="191"/>
      <c r="O31" s="73" t="s">
        <v>260</v>
      </c>
      <c r="P31" s="135"/>
      <c r="Q31" s="73" t="s">
        <v>22</v>
      </c>
    </row>
    <row r="32" spans="1:19" s="20" customFormat="1" ht="13.5" customHeight="1" x14ac:dyDescent="0.45">
      <c r="A32" s="73">
        <v>3</v>
      </c>
      <c r="B32" s="137" t="s">
        <v>80</v>
      </c>
      <c r="C32" s="137" t="s">
        <v>261</v>
      </c>
      <c r="D32" s="137" t="s">
        <v>82</v>
      </c>
      <c r="E32" s="73" t="s">
        <v>74</v>
      </c>
      <c r="F32" s="72">
        <v>28000</v>
      </c>
      <c r="G32" s="139">
        <v>186346</v>
      </c>
      <c r="H32" s="178">
        <v>186346</v>
      </c>
      <c r="I32" s="73" t="s">
        <v>218</v>
      </c>
      <c r="J32" s="73">
        <v>6</v>
      </c>
      <c r="K32" s="73">
        <v>2</v>
      </c>
      <c r="L32" s="73" t="s">
        <v>212</v>
      </c>
      <c r="M32" s="73"/>
      <c r="N32" s="190"/>
      <c r="O32" s="73" t="s">
        <v>213</v>
      </c>
      <c r="P32" s="135" t="s">
        <v>262</v>
      </c>
      <c r="Q32" s="73" t="s">
        <v>22</v>
      </c>
    </row>
    <row r="33" spans="1:17" s="20" customFormat="1" ht="13.5" customHeight="1" x14ac:dyDescent="0.45">
      <c r="A33" s="73">
        <v>4</v>
      </c>
      <c r="B33" s="137" t="s">
        <v>80</v>
      </c>
      <c r="C33" s="137" t="s">
        <v>438</v>
      </c>
      <c r="D33" s="137" t="s">
        <v>23</v>
      </c>
      <c r="E33" s="73" t="s">
        <v>194</v>
      </c>
      <c r="F33" s="72">
        <f>H33/10.764</f>
        <v>10360.925306577481</v>
      </c>
      <c r="G33" s="139">
        <v>111525</v>
      </c>
      <c r="H33" s="178">
        <v>111525</v>
      </c>
      <c r="I33" s="73" t="s">
        <v>135</v>
      </c>
      <c r="J33" s="73">
        <v>10</v>
      </c>
      <c r="K33" s="73">
        <v>2</v>
      </c>
      <c r="L33" s="73" t="s">
        <v>212</v>
      </c>
      <c r="M33" s="73"/>
      <c r="N33" s="69" t="s">
        <v>116</v>
      </c>
      <c r="O33" s="73" t="s">
        <v>213</v>
      </c>
      <c r="P33" s="135"/>
      <c r="Q33" s="73" t="s">
        <v>22</v>
      </c>
    </row>
    <row r="34" spans="1:17" s="20" customFormat="1" ht="13.5" customHeight="1" x14ac:dyDescent="0.45">
      <c r="A34" s="73">
        <v>5</v>
      </c>
      <c r="B34" s="137" t="s">
        <v>80</v>
      </c>
      <c r="C34" s="137" t="s">
        <v>421</v>
      </c>
      <c r="D34" s="137" t="s">
        <v>420</v>
      </c>
      <c r="E34" s="73" t="s">
        <v>419</v>
      </c>
      <c r="F34" s="72">
        <f>H34/10.764</f>
        <v>32479.654403567449</v>
      </c>
      <c r="G34" s="139">
        <v>349611</v>
      </c>
      <c r="H34" s="178">
        <v>349611</v>
      </c>
      <c r="I34" s="73" t="s">
        <v>135</v>
      </c>
      <c r="J34" s="73">
        <v>60</v>
      </c>
      <c r="K34" s="73">
        <v>6</v>
      </c>
      <c r="L34" s="73" t="s">
        <v>212</v>
      </c>
      <c r="M34" s="73"/>
      <c r="N34" s="190"/>
      <c r="O34" s="73" t="s">
        <v>219</v>
      </c>
      <c r="P34" s="135"/>
      <c r="Q34" s="73" t="s">
        <v>22</v>
      </c>
    </row>
    <row r="35" spans="1:17" s="12" customFormat="1" ht="13.15" customHeight="1" x14ac:dyDescent="0.45">
      <c r="A35" s="73">
        <v>6</v>
      </c>
      <c r="B35" s="137" t="s">
        <v>80</v>
      </c>
      <c r="C35" s="137" t="s">
        <v>215</v>
      </c>
      <c r="D35" s="137" t="s">
        <v>264</v>
      </c>
      <c r="E35" s="73" t="s">
        <v>44</v>
      </c>
      <c r="F35" s="72">
        <f t="shared" ref="F35:F40" si="2">G35/10.764</f>
        <v>9079.8959494611681</v>
      </c>
      <c r="G35" s="139">
        <v>97736</v>
      </c>
      <c r="H35" s="178">
        <v>97736</v>
      </c>
      <c r="I35" s="72" t="s">
        <v>218</v>
      </c>
      <c r="J35" s="72">
        <v>4</v>
      </c>
      <c r="K35" s="72">
        <v>1</v>
      </c>
      <c r="L35" s="72" t="s">
        <v>212</v>
      </c>
      <c r="M35" s="72"/>
      <c r="N35" s="190"/>
      <c r="O35" s="187" t="s">
        <v>219</v>
      </c>
      <c r="P35" s="135" t="s">
        <v>265</v>
      </c>
      <c r="Q35" s="73" t="s">
        <v>22</v>
      </c>
    </row>
    <row r="36" spans="1:17" s="12" customFormat="1" ht="13.15" customHeight="1" x14ac:dyDescent="0.45">
      <c r="A36" s="73">
        <v>7</v>
      </c>
      <c r="B36" s="137" t="s">
        <v>80</v>
      </c>
      <c r="C36" s="137" t="s">
        <v>266</v>
      </c>
      <c r="D36" s="137" t="s">
        <v>264</v>
      </c>
      <c r="E36" s="73" t="s">
        <v>44</v>
      </c>
      <c r="F36" s="72">
        <f t="shared" si="2"/>
        <v>16311.780007432182</v>
      </c>
      <c r="G36" s="139">
        <v>175580</v>
      </c>
      <c r="H36" s="178">
        <v>175580</v>
      </c>
      <c r="I36" s="72" t="s">
        <v>218</v>
      </c>
      <c r="J36" s="72">
        <v>6</v>
      </c>
      <c r="K36" s="72">
        <v>1</v>
      </c>
      <c r="L36" s="72" t="s">
        <v>212</v>
      </c>
      <c r="M36" s="72"/>
      <c r="N36" s="190"/>
      <c r="O36" s="187" t="s">
        <v>213</v>
      </c>
      <c r="P36" s="135" t="s">
        <v>263</v>
      </c>
      <c r="Q36" s="73" t="s">
        <v>22</v>
      </c>
    </row>
    <row r="37" spans="1:17" s="12" customFormat="1" ht="13.15" customHeight="1" x14ac:dyDescent="0.45">
      <c r="A37" s="73">
        <v>8</v>
      </c>
      <c r="B37" s="137" t="s">
        <v>80</v>
      </c>
      <c r="C37" s="137" t="s">
        <v>267</v>
      </c>
      <c r="D37" s="137" t="s">
        <v>264</v>
      </c>
      <c r="E37" s="73" t="s">
        <v>44</v>
      </c>
      <c r="F37" s="72">
        <f t="shared" si="2"/>
        <v>20166.01635079896</v>
      </c>
      <c r="G37" s="139">
        <v>217067</v>
      </c>
      <c r="H37" s="178">
        <v>217067</v>
      </c>
      <c r="I37" s="72" t="s">
        <v>218</v>
      </c>
      <c r="J37" s="72">
        <v>8</v>
      </c>
      <c r="K37" s="72">
        <v>2</v>
      </c>
      <c r="L37" s="72" t="s">
        <v>212</v>
      </c>
      <c r="M37" s="72"/>
      <c r="N37" s="140"/>
      <c r="O37" s="187" t="s">
        <v>260</v>
      </c>
      <c r="P37" s="135" t="s">
        <v>268</v>
      </c>
      <c r="Q37" s="73" t="s">
        <v>22</v>
      </c>
    </row>
    <row r="38" spans="1:17" s="12" customFormat="1" ht="13.15" customHeight="1" x14ac:dyDescent="0.45">
      <c r="A38" s="73">
        <v>9</v>
      </c>
      <c r="B38" s="137" t="s">
        <v>80</v>
      </c>
      <c r="C38" s="137" t="s">
        <v>215</v>
      </c>
      <c r="D38" s="137" t="s">
        <v>269</v>
      </c>
      <c r="E38" s="73" t="s">
        <v>44</v>
      </c>
      <c r="F38" s="72">
        <f t="shared" si="2"/>
        <v>24454.570791527316</v>
      </c>
      <c r="G38" s="139">
        <v>263229</v>
      </c>
      <c r="H38" s="178">
        <v>263229</v>
      </c>
      <c r="I38" s="72" t="s">
        <v>218</v>
      </c>
      <c r="J38" s="72">
        <v>12</v>
      </c>
      <c r="K38" s="72">
        <v>2</v>
      </c>
      <c r="L38" s="72" t="s">
        <v>212</v>
      </c>
      <c r="M38" s="72"/>
      <c r="N38" s="140"/>
      <c r="O38" s="187" t="s">
        <v>260</v>
      </c>
      <c r="P38" s="135" t="s">
        <v>270</v>
      </c>
      <c r="Q38" s="73" t="s">
        <v>22</v>
      </c>
    </row>
    <row r="39" spans="1:17" s="12" customFormat="1" ht="13.15" customHeight="1" x14ac:dyDescent="0.45">
      <c r="A39" s="73">
        <v>10</v>
      </c>
      <c r="B39" s="137" t="s">
        <v>80</v>
      </c>
      <c r="C39" s="137" t="s">
        <v>130</v>
      </c>
      <c r="D39" s="137" t="s">
        <v>202</v>
      </c>
      <c r="E39" s="73" t="s">
        <v>44</v>
      </c>
      <c r="F39" s="72">
        <f t="shared" si="2"/>
        <v>4322.9282794500186</v>
      </c>
      <c r="G39" s="139">
        <v>46532</v>
      </c>
      <c r="H39" s="178">
        <v>46532</v>
      </c>
      <c r="I39" s="154" t="s">
        <v>218</v>
      </c>
      <c r="J39" s="72">
        <v>2</v>
      </c>
      <c r="K39" s="72">
        <v>2</v>
      </c>
      <c r="L39" s="154" t="s">
        <v>212</v>
      </c>
      <c r="M39" s="154"/>
      <c r="N39" s="140"/>
      <c r="O39" s="187" t="s">
        <v>219</v>
      </c>
      <c r="P39" s="135" t="s">
        <v>271</v>
      </c>
      <c r="Q39" s="73" t="s">
        <v>22</v>
      </c>
    </row>
    <row r="40" spans="1:17" s="12" customFormat="1" ht="13.15" customHeight="1" x14ac:dyDescent="0.45">
      <c r="A40" s="73">
        <v>11</v>
      </c>
      <c r="B40" s="137" t="s">
        <v>80</v>
      </c>
      <c r="C40" s="137" t="s">
        <v>272</v>
      </c>
      <c r="D40" s="137" t="s">
        <v>202</v>
      </c>
      <c r="E40" s="73" t="s">
        <v>44</v>
      </c>
      <c r="F40" s="72">
        <f t="shared" si="2"/>
        <v>4935.0613154960984</v>
      </c>
      <c r="G40" s="139">
        <v>53121</v>
      </c>
      <c r="H40" s="178">
        <v>53121</v>
      </c>
      <c r="I40" s="154" t="s">
        <v>218</v>
      </c>
      <c r="J40" s="72">
        <v>3</v>
      </c>
      <c r="K40" s="72">
        <v>1</v>
      </c>
      <c r="L40" s="154" t="s">
        <v>212</v>
      </c>
      <c r="M40" s="154"/>
      <c r="N40" s="140"/>
      <c r="O40" s="187" t="s">
        <v>219</v>
      </c>
      <c r="P40" s="135" t="s">
        <v>273</v>
      </c>
      <c r="Q40" s="73" t="s">
        <v>22</v>
      </c>
    </row>
    <row r="41" spans="1:17" s="28" customFormat="1" ht="13.15" customHeight="1" x14ac:dyDescent="0.45">
      <c r="A41" s="16"/>
      <c r="B41" s="146" t="s">
        <v>84</v>
      </c>
      <c r="C41" s="146"/>
      <c r="D41" s="146"/>
      <c r="E41" s="146"/>
      <c r="F41" s="147">
        <f>SUM(F30:F40)</f>
        <v>202565.40319583798</v>
      </c>
      <c r="G41" s="147">
        <f>SUM(G30:G40)</f>
        <v>2065368</v>
      </c>
      <c r="H41" s="147">
        <f>SUM(H30:H40)</f>
        <v>2065368</v>
      </c>
      <c r="I41" s="147"/>
      <c r="J41" s="147"/>
      <c r="K41" s="147"/>
      <c r="L41" s="192"/>
      <c r="M41" s="192"/>
      <c r="N41" s="147"/>
      <c r="O41" s="187"/>
      <c r="P41" s="135"/>
      <c r="Q41" s="146"/>
    </row>
    <row r="42" spans="1:17" s="20" customFormat="1" ht="18" customHeight="1" x14ac:dyDescent="0.45">
      <c r="A42" s="68"/>
      <c r="B42" s="227" t="s">
        <v>85</v>
      </c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</row>
    <row r="43" spans="1:17" s="20" customFormat="1" ht="12.75" customHeight="1" x14ac:dyDescent="0.35">
      <c r="A43" s="73">
        <v>1</v>
      </c>
      <c r="B43" s="137" t="s">
        <v>86</v>
      </c>
      <c r="C43" s="193" t="s">
        <v>215</v>
      </c>
      <c r="D43" s="137" t="s">
        <v>274</v>
      </c>
      <c r="E43" s="73" t="s">
        <v>172</v>
      </c>
      <c r="F43" s="72">
        <f>G43/10.764</f>
        <v>20754.923820141212</v>
      </c>
      <c r="G43" s="72">
        <v>223406</v>
      </c>
      <c r="H43" s="72">
        <v>223406</v>
      </c>
      <c r="I43" s="72" t="s">
        <v>135</v>
      </c>
      <c r="J43" s="72">
        <v>12</v>
      </c>
      <c r="K43" s="72">
        <v>6</v>
      </c>
      <c r="L43" s="194"/>
      <c r="M43" s="194"/>
      <c r="N43" s="140" t="s">
        <v>275</v>
      </c>
      <c r="O43" s="187" t="s">
        <v>219</v>
      </c>
      <c r="P43" s="187"/>
      <c r="Q43" s="195" t="s">
        <v>34</v>
      </c>
    </row>
    <row r="44" spans="1:17" s="12" customFormat="1" ht="13.15" customHeight="1" x14ac:dyDescent="0.45">
      <c r="A44" s="73"/>
      <c r="B44" s="146" t="s">
        <v>87</v>
      </c>
      <c r="C44" s="146"/>
      <c r="D44" s="146"/>
      <c r="E44" s="146"/>
      <c r="F44" s="147">
        <f>SUM(F43:F43)</f>
        <v>20754.923820141212</v>
      </c>
      <c r="G44" s="147">
        <f>SUBTOTAL(9,G43:G43)</f>
        <v>223406</v>
      </c>
      <c r="H44" s="147">
        <f>SUM(H43:H43)</f>
        <v>223406</v>
      </c>
      <c r="I44" s="147"/>
      <c r="J44" s="147"/>
      <c r="K44" s="147"/>
      <c r="L44" s="192"/>
      <c r="M44" s="192"/>
      <c r="N44" s="147"/>
      <c r="O44" s="187"/>
      <c r="P44" s="187"/>
      <c r="Q44" s="146"/>
    </row>
    <row r="45" spans="1:17" s="20" customFormat="1" ht="18" customHeight="1" x14ac:dyDescent="0.45">
      <c r="A45" s="68"/>
      <c r="B45" s="227" t="s">
        <v>76</v>
      </c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</row>
    <row r="46" spans="1:17" s="12" customFormat="1" ht="12.75" customHeight="1" x14ac:dyDescent="0.45">
      <c r="A46" s="73">
        <v>1</v>
      </c>
      <c r="B46" s="137" t="s">
        <v>77</v>
      </c>
      <c r="C46" s="138"/>
      <c r="D46" s="138"/>
      <c r="E46" s="16"/>
      <c r="F46" s="139"/>
      <c r="G46" s="139"/>
      <c r="H46" s="139"/>
      <c r="I46" s="139"/>
      <c r="J46" s="139"/>
      <c r="K46" s="139"/>
      <c r="L46" s="139"/>
      <c r="M46" s="139"/>
      <c r="N46" s="139"/>
      <c r="O46" s="16"/>
      <c r="P46" s="135"/>
      <c r="Q46" s="73"/>
    </row>
    <row r="47" spans="1:17" s="12" customFormat="1" ht="13.15" x14ac:dyDescent="0.45">
      <c r="A47" s="73"/>
      <c r="B47" s="228" t="s">
        <v>204</v>
      </c>
      <c r="C47" s="228"/>
      <c r="D47" s="228"/>
      <c r="E47" s="228"/>
      <c r="F47" s="147">
        <f>SUM(F46:F46)</f>
        <v>0</v>
      </c>
      <c r="G47" s="147">
        <f>SUM(G46:G46)</f>
        <v>0</v>
      </c>
      <c r="H47" s="196">
        <f>SUM(H46:H46)</f>
        <v>0</v>
      </c>
      <c r="I47" s="147"/>
      <c r="J47" s="147"/>
      <c r="K47" s="147"/>
      <c r="L47" s="192"/>
      <c r="M47" s="192"/>
      <c r="N47" s="147"/>
      <c r="O47" s="73"/>
      <c r="P47" s="73"/>
      <c r="Q47" s="197"/>
    </row>
    <row r="48" spans="1:17" s="20" customFormat="1" ht="18" customHeight="1" x14ac:dyDescent="0.45">
      <c r="A48" s="68"/>
      <c r="B48" s="227" t="s">
        <v>61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</row>
    <row r="49" spans="1:17" s="20" customFormat="1" ht="14.25" x14ac:dyDescent="0.45">
      <c r="A49" s="73">
        <v>1</v>
      </c>
      <c r="B49" s="137" t="s">
        <v>62</v>
      </c>
      <c r="C49" s="137"/>
      <c r="D49" s="137"/>
      <c r="E49" s="137"/>
      <c r="F49" s="72"/>
      <c r="G49" s="72"/>
      <c r="H49" s="72"/>
      <c r="I49" s="72"/>
      <c r="J49" s="72"/>
      <c r="K49" s="72"/>
      <c r="L49" s="194"/>
      <c r="M49" s="194"/>
      <c r="N49" s="71"/>
      <c r="O49" s="198"/>
      <c r="P49" s="198"/>
      <c r="Q49" s="73"/>
    </row>
    <row r="50" spans="1:17" s="12" customFormat="1" ht="13.15" x14ac:dyDescent="0.45">
      <c r="A50" s="73"/>
      <c r="B50" s="228" t="s">
        <v>64</v>
      </c>
      <c r="C50" s="228"/>
      <c r="D50" s="228"/>
      <c r="E50" s="228"/>
      <c r="F50" s="147">
        <f>SUM(F49:F49)</f>
        <v>0</v>
      </c>
      <c r="G50" s="147">
        <f>SUM(G49:G49)</f>
        <v>0</v>
      </c>
      <c r="H50" s="147">
        <f>SUM(H49)</f>
        <v>0</v>
      </c>
      <c r="I50" s="147"/>
      <c r="J50" s="147"/>
      <c r="K50" s="147"/>
      <c r="L50" s="192"/>
      <c r="M50" s="192"/>
      <c r="N50" s="147"/>
      <c r="O50" s="198"/>
      <c r="P50" s="198"/>
      <c r="Q50" s="197"/>
    </row>
    <row r="51" spans="1:17" s="20" customFormat="1" ht="18" customHeight="1" x14ac:dyDescent="0.45">
      <c r="A51" s="68"/>
      <c r="B51" s="227" t="s">
        <v>71</v>
      </c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</row>
    <row r="52" spans="1:17" s="12" customFormat="1" ht="14.25" x14ac:dyDescent="0.45">
      <c r="A52" s="74">
        <v>1</v>
      </c>
      <c r="B52" s="74" t="s">
        <v>72</v>
      </c>
      <c r="C52" s="74" t="s">
        <v>279</v>
      </c>
      <c r="D52" s="74" t="s">
        <v>280</v>
      </c>
      <c r="E52" s="139" t="s">
        <v>67</v>
      </c>
      <c r="F52" s="139">
        <v>20000</v>
      </c>
      <c r="G52" s="199">
        <f t="shared" ref="G52" si="3">F52*10.764</f>
        <v>215280</v>
      </c>
      <c r="H52" s="199">
        <f>F52*10.764</f>
        <v>215280</v>
      </c>
      <c r="I52" s="200" t="s">
        <v>135</v>
      </c>
      <c r="J52" s="200">
        <v>4</v>
      </c>
      <c r="K52" s="200">
        <v>1</v>
      </c>
      <c r="L52" s="201" t="s">
        <v>212</v>
      </c>
      <c r="M52" s="201"/>
      <c r="N52" s="202"/>
      <c r="O52" s="16" t="s">
        <v>260</v>
      </c>
      <c r="P52" s="203" t="s">
        <v>281</v>
      </c>
      <c r="Q52" s="16" t="s">
        <v>22</v>
      </c>
    </row>
    <row r="53" spans="1:17" s="120" customFormat="1" ht="14.25" x14ac:dyDescent="0.45">
      <c r="A53" s="74">
        <v>3</v>
      </c>
      <c r="B53" s="74" t="s">
        <v>72</v>
      </c>
      <c r="C53" s="74" t="s">
        <v>284</v>
      </c>
      <c r="D53" s="74" t="s">
        <v>73</v>
      </c>
      <c r="E53" s="139" t="s">
        <v>112</v>
      </c>
      <c r="F53" s="139">
        <f>H53/10.764</f>
        <v>9197.3244147157202</v>
      </c>
      <c r="G53" s="199">
        <v>99000</v>
      </c>
      <c r="H53" s="199">
        <v>99000</v>
      </c>
      <c r="I53" s="200"/>
      <c r="J53" s="200"/>
      <c r="K53" s="200"/>
      <c r="L53" s="201"/>
      <c r="M53" s="201"/>
      <c r="N53" s="202"/>
      <c r="O53" s="16" t="s">
        <v>213</v>
      </c>
      <c r="P53" s="203"/>
      <c r="Q53" s="16" t="s">
        <v>22</v>
      </c>
    </row>
    <row r="54" spans="1:17" s="120" customFormat="1" ht="14.25" x14ac:dyDescent="0.45">
      <c r="A54" s="74">
        <v>4</v>
      </c>
      <c r="B54" s="74" t="s">
        <v>72</v>
      </c>
      <c r="C54" s="74" t="s">
        <v>215</v>
      </c>
      <c r="D54" s="74" t="s">
        <v>414</v>
      </c>
      <c r="E54" s="139" t="s">
        <v>413</v>
      </c>
      <c r="F54" s="139">
        <f>H54/10.764</f>
        <v>10450.947603121516</v>
      </c>
      <c r="G54" s="199">
        <v>112494</v>
      </c>
      <c r="H54" s="199">
        <v>112494</v>
      </c>
      <c r="I54" s="200" t="s">
        <v>218</v>
      </c>
      <c r="J54" s="200">
        <v>9</v>
      </c>
      <c r="K54" s="200">
        <v>3</v>
      </c>
      <c r="L54" s="201" t="s">
        <v>212</v>
      </c>
      <c r="M54" s="201"/>
      <c r="N54" s="202"/>
      <c r="O54" s="16" t="s">
        <v>219</v>
      </c>
      <c r="P54" s="203"/>
      <c r="Q54" s="16" t="s">
        <v>22</v>
      </c>
    </row>
    <row r="55" spans="1:17" s="120" customFormat="1" ht="14.25" x14ac:dyDescent="0.45">
      <c r="A55" s="74">
        <v>5</v>
      </c>
      <c r="B55" s="74" t="s">
        <v>72</v>
      </c>
      <c r="C55" s="74" t="s">
        <v>266</v>
      </c>
      <c r="D55" s="74" t="s">
        <v>414</v>
      </c>
      <c r="E55" s="139" t="s">
        <v>413</v>
      </c>
      <c r="F55" s="139">
        <f>H55/10.764</f>
        <v>10450.947603121516</v>
      </c>
      <c r="G55" s="199">
        <v>112494</v>
      </c>
      <c r="H55" s="199">
        <v>112494</v>
      </c>
      <c r="I55" s="200" t="s">
        <v>218</v>
      </c>
      <c r="J55" s="200">
        <v>9</v>
      </c>
      <c r="K55" s="200">
        <v>3</v>
      </c>
      <c r="L55" s="201" t="s">
        <v>212</v>
      </c>
      <c r="M55" s="201"/>
      <c r="N55" s="202"/>
      <c r="O55" s="16" t="s">
        <v>219</v>
      </c>
      <c r="P55" s="203"/>
      <c r="Q55" s="16" t="s">
        <v>22</v>
      </c>
    </row>
    <row r="56" spans="1:17" s="12" customFormat="1" ht="13.15" x14ac:dyDescent="0.45">
      <c r="A56" s="73"/>
      <c r="B56" s="228" t="s">
        <v>186</v>
      </c>
      <c r="C56" s="228"/>
      <c r="D56" s="228"/>
      <c r="E56" s="228"/>
      <c r="F56" s="147">
        <f>SUM(F52:F55)</f>
        <v>50099.219620958756</v>
      </c>
      <c r="G56" s="147">
        <f>SUM(G52:G55)</f>
        <v>539268</v>
      </c>
      <c r="H56" s="147">
        <f>SUM(H52:H55)</f>
        <v>539268</v>
      </c>
      <c r="I56" s="147"/>
      <c r="J56" s="147"/>
      <c r="K56" s="147"/>
      <c r="L56" s="192"/>
      <c r="M56" s="192"/>
      <c r="N56" s="147"/>
      <c r="O56" s="73"/>
      <c r="P56" s="73"/>
      <c r="Q56" s="197"/>
    </row>
    <row r="57" spans="1:17" s="20" customFormat="1" ht="18" customHeight="1" x14ac:dyDescent="0.45">
      <c r="A57" s="68"/>
      <c r="B57" s="227" t="s">
        <v>46</v>
      </c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</row>
    <row r="58" spans="1:17" s="91" customFormat="1" ht="13.15" customHeight="1" x14ac:dyDescent="0.45">
      <c r="A58" s="130">
        <v>1</v>
      </c>
      <c r="B58" s="137" t="s">
        <v>47</v>
      </c>
      <c r="C58" s="176" t="s">
        <v>423</v>
      </c>
      <c r="D58" s="176" t="s">
        <v>49</v>
      </c>
      <c r="E58" s="72" t="s">
        <v>50</v>
      </c>
      <c r="F58" s="72">
        <f t="shared" ref="F58:F64" si="4">G58/10.764</f>
        <v>37510.033444816057</v>
      </c>
      <c r="G58" s="72">
        <v>403758</v>
      </c>
      <c r="H58" s="72">
        <v>403758</v>
      </c>
      <c r="I58" s="72" t="s">
        <v>135</v>
      </c>
      <c r="J58" s="72"/>
      <c r="K58" s="72"/>
      <c r="L58" s="72" t="s">
        <v>212</v>
      </c>
      <c r="M58" s="72"/>
      <c r="N58" s="204"/>
      <c r="O58" s="205" t="s">
        <v>260</v>
      </c>
      <c r="P58" s="134"/>
      <c r="Q58" s="72" t="s">
        <v>22</v>
      </c>
    </row>
    <row r="59" spans="1:17" s="91" customFormat="1" ht="13.15" customHeight="1" x14ac:dyDescent="0.45">
      <c r="A59" s="130">
        <v>2</v>
      </c>
      <c r="B59" s="137" t="s">
        <v>47</v>
      </c>
      <c r="C59" s="176" t="s">
        <v>285</v>
      </c>
      <c r="D59" s="176" t="s">
        <v>51</v>
      </c>
      <c r="E59" s="72" t="s">
        <v>32</v>
      </c>
      <c r="F59" s="72">
        <f t="shared" si="4"/>
        <v>12774.061687105166</v>
      </c>
      <c r="G59" s="72">
        <v>137500</v>
      </c>
      <c r="H59" s="72">
        <v>137500</v>
      </c>
      <c r="I59" s="72" t="s">
        <v>135</v>
      </c>
      <c r="J59" s="72">
        <v>6</v>
      </c>
      <c r="K59" s="72">
        <v>2</v>
      </c>
      <c r="L59" s="72" t="s">
        <v>212</v>
      </c>
      <c r="M59" s="72"/>
      <c r="N59" s="204"/>
      <c r="O59" s="205" t="s">
        <v>219</v>
      </c>
      <c r="P59" s="134" t="s">
        <v>286</v>
      </c>
      <c r="Q59" s="72" t="s">
        <v>22</v>
      </c>
    </row>
    <row r="60" spans="1:17" s="91" customFormat="1" ht="13.15" customHeight="1" x14ac:dyDescent="0.45">
      <c r="A60" s="130">
        <v>3</v>
      </c>
      <c r="B60" s="137" t="s">
        <v>47</v>
      </c>
      <c r="C60" s="176" t="s">
        <v>442</v>
      </c>
      <c r="D60" s="176" t="s">
        <v>443</v>
      </c>
      <c r="E60" s="72" t="s">
        <v>172</v>
      </c>
      <c r="F60" s="72">
        <f t="shared" si="4"/>
        <v>6109.9962839093278</v>
      </c>
      <c r="G60" s="72">
        <v>65768</v>
      </c>
      <c r="H60" s="72">
        <v>65768</v>
      </c>
      <c r="I60" s="72" t="s">
        <v>218</v>
      </c>
      <c r="J60" s="72">
        <v>7</v>
      </c>
      <c r="K60" s="72">
        <v>2</v>
      </c>
      <c r="L60" s="72" t="s">
        <v>212</v>
      </c>
      <c r="M60" s="72"/>
      <c r="N60" s="204" t="s">
        <v>444</v>
      </c>
      <c r="O60" s="205" t="s">
        <v>219</v>
      </c>
      <c r="P60" s="134"/>
      <c r="Q60" s="72" t="s">
        <v>34</v>
      </c>
    </row>
    <row r="61" spans="1:17" s="91" customFormat="1" ht="13.15" customHeight="1" x14ac:dyDescent="0.45">
      <c r="A61" s="130">
        <v>4</v>
      </c>
      <c r="B61" s="137" t="s">
        <v>47</v>
      </c>
      <c r="C61" s="176" t="s">
        <v>445</v>
      </c>
      <c r="D61" s="176" t="s">
        <v>443</v>
      </c>
      <c r="E61" s="72" t="s">
        <v>172</v>
      </c>
      <c r="F61" s="72">
        <f t="shared" si="4"/>
        <v>13325.994054254925</v>
      </c>
      <c r="G61" s="72">
        <v>143441</v>
      </c>
      <c r="H61" s="72">
        <v>143441</v>
      </c>
      <c r="I61" s="72" t="s">
        <v>218</v>
      </c>
      <c r="J61" s="72">
        <v>10</v>
      </c>
      <c r="K61" s="72">
        <v>2</v>
      </c>
      <c r="L61" s="72" t="s">
        <v>212</v>
      </c>
      <c r="M61" s="72"/>
      <c r="N61" s="204" t="s">
        <v>444</v>
      </c>
      <c r="O61" s="205" t="s">
        <v>245</v>
      </c>
      <c r="P61" s="134"/>
      <c r="Q61" s="72" t="s">
        <v>34</v>
      </c>
    </row>
    <row r="62" spans="1:17" s="91" customFormat="1" ht="13.15" customHeight="1" x14ac:dyDescent="0.45">
      <c r="A62" s="130">
        <v>5</v>
      </c>
      <c r="B62" s="137" t="s">
        <v>47</v>
      </c>
      <c r="C62" s="176" t="s">
        <v>287</v>
      </c>
      <c r="D62" s="176" t="s">
        <v>53</v>
      </c>
      <c r="E62" s="72" t="s">
        <v>54</v>
      </c>
      <c r="F62" s="72">
        <f t="shared" si="4"/>
        <v>26570.048309178746</v>
      </c>
      <c r="G62" s="72">
        <v>286000</v>
      </c>
      <c r="H62" s="72">
        <v>286000</v>
      </c>
      <c r="I62" s="72" t="s">
        <v>135</v>
      </c>
      <c r="J62" s="72">
        <v>12</v>
      </c>
      <c r="K62" s="72">
        <v>2</v>
      </c>
      <c r="L62" s="72" t="s">
        <v>212</v>
      </c>
      <c r="M62" s="72"/>
      <c r="N62" s="204"/>
      <c r="O62" s="179" t="s">
        <v>213</v>
      </c>
      <c r="P62" s="134" t="s">
        <v>288</v>
      </c>
      <c r="Q62" s="72" t="s">
        <v>22</v>
      </c>
    </row>
    <row r="63" spans="1:17" s="91" customFormat="1" ht="13.15" customHeight="1" x14ac:dyDescent="0.45">
      <c r="A63" s="130">
        <v>6</v>
      </c>
      <c r="B63" s="137" t="s">
        <v>47</v>
      </c>
      <c r="C63" s="137" t="s">
        <v>155</v>
      </c>
      <c r="D63" s="176" t="s">
        <v>290</v>
      </c>
      <c r="E63" s="130" t="s">
        <v>44</v>
      </c>
      <c r="F63" s="72">
        <f t="shared" si="4"/>
        <v>33590.022296544041</v>
      </c>
      <c r="G63" s="72">
        <v>361563</v>
      </c>
      <c r="H63" s="72">
        <v>361563</v>
      </c>
      <c r="I63" s="72" t="s">
        <v>135</v>
      </c>
      <c r="J63" s="72">
        <v>12</v>
      </c>
      <c r="K63" s="143">
        <v>2</v>
      </c>
      <c r="L63" s="72" t="s">
        <v>212</v>
      </c>
      <c r="M63" s="72"/>
      <c r="N63" s="143"/>
      <c r="O63" s="69" t="s">
        <v>219</v>
      </c>
      <c r="P63" s="135" t="s">
        <v>291</v>
      </c>
      <c r="Q63" s="73" t="s">
        <v>22</v>
      </c>
    </row>
    <row r="64" spans="1:17" s="91" customFormat="1" ht="13.15" customHeight="1" x14ac:dyDescent="0.45">
      <c r="A64" s="130">
        <v>7</v>
      </c>
      <c r="B64" s="137" t="s">
        <v>47</v>
      </c>
      <c r="C64" s="137" t="s">
        <v>83</v>
      </c>
      <c r="D64" s="176" t="s">
        <v>290</v>
      </c>
      <c r="E64" s="130" t="s">
        <v>44</v>
      </c>
      <c r="F64" s="72">
        <f t="shared" si="4"/>
        <v>18329.988851727983</v>
      </c>
      <c r="G64" s="72">
        <v>197304</v>
      </c>
      <c r="H64" s="72">
        <v>197304</v>
      </c>
      <c r="I64" s="72" t="s">
        <v>135</v>
      </c>
      <c r="J64" s="72">
        <v>14</v>
      </c>
      <c r="K64" s="143">
        <v>2</v>
      </c>
      <c r="L64" s="72" t="s">
        <v>212</v>
      </c>
      <c r="M64" s="72"/>
      <c r="N64" s="143"/>
      <c r="O64" s="69" t="s">
        <v>213</v>
      </c>
      <c r="P64" s="135" t="s">
        <v>292</v>
      </c>
      <c r="Q64" s="73" t="s">
        <v>22</v>
      </c>
    </row>
    <row r="65" spans="1:17" s="91" customFormat="1" ht="15" customHeight="1" x14ac:dyDescent="0.4">
      <c r="A65" s="206"/>
      <c r="B65" s="228" t="s">
        <v>293</v>
      </c>
      <c r="C65" s="228"/>
      <c r="D65" s="228"/>
      <c r="E65" s="228"/>
      <c r="F65" s="147">
        <f>SUM(F59:F64)</f>
        <v>110700.11148272018</v>
      </c>
      <c r="G65" s="147">
        <f>SUM(G58:G64)</f>
        <v>1595334</v>
      </c>
      <c r="H65" s="207">
        <f>SUM(H58:H64)</f>
        <v>1595334</v>
      </c>
      <c r="I65" s="206"/>
      <c r="J65" s="206"/>
      <c r="K65" s="206"/>
      <c r="L65" s="208"/>
      <c r="M65" s="208"/>
      <c r="N65" s="208"/>
      <c r="O65" s="206"/>
      <c r="P65" s="206"/>
      <c r="Q65" s="209"/>
    </row>
    <row r="66" spans="1:17" s="20" customFormat="1" ht="18" customHeight="1" x14ac:dyDescent="0.45">
      <c r="A66" s="68"/>
      <c r="B66" s="227" t="s">
        <v>65</v>
      </c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</row>
    <row r="67" spans="1:17" s="93" customFormat="1" ht="14.25" x14ac:dyDescent="0.45">
      <c r="A67" s="73">
        <v>1</v>
      </c>
      <c r="B67" s="137" t="s">
        <v>66</v>
      </c>
      <c r="C67" s="137" t="s">
        <v>446</v>
      </c>
      <c r="D67" s="137" t="s">
        <v>447</v>
      </c>
      <c r="E67" s="73" t="s">
        <v>172</v>
      </c>
      <c r="F67" s="72">
        <f>G67/10.764</f>
        <v>23604.050538833148</v>
      </c>
      <c r="G67" s="72">
        <v>254074</v>
      </c>
      <c r="H67" s="72">
        <v>254074</v>
      </c>
      <c r="I67" s="72" t="s">
        <v>135</v>
      </c>
      <c r="J67" s="72">
        <v>12</v>
      </c>
      <c r="K67" s="72">
        <v>3</v>
      </c>
      <c r="L67" s="72" t="s">
        <v>212</v>
      </c>
      <c r="M67" s="72"/>
      <c r="N67" s="137" t="s">
        <v>448</v>
      </c>
      <c r="O67" s="205" t="s">
        <v>213</v>
      </c>
      <c r="P67" s="210"/>
      <c r="Q67" s="73" t="s">
        <v>22</v>
      </c>
    </row>
    <row r="68" spans="1:17" s="93" customFormat="1" ht="14.25" x14ac:dyDescent="0.45">
      <c r="A68" s="73">
        <v>2</v>
      </c>
      <c r="B68" s="137" t="s">
        <v>66</v>
      </c>
      <c r="C68" s="137" t="s">
        <v>155</v>
      </c>
      <c r="D68" s="137" t="s">
        <v>522</v>
      </c>
      <c r="E68" s="73" t="s">
        <v>44</v>
      </c>
      <c r="F68" s="72">
        <f>G68/10.764</f>
        <v>5599.9628390932739</v>
      </c>
      <c r="G68" s="72">
        <v>60278</v>
      </c>
      <c r="H68" s="72">
        <v>60278</v>
      </c>
      <c r="I68" s="72"/>
      <c r="J68" s="72"/>
      <c r="K68" s="72"/>
      <c r="L68" s="72"/>
      <c r="M68" s="72"/>
      <c r="N68" s="137"/>
      <c r="O68" s="205" t="s">
        <v>260</v>
      </c>
      <c r="P68" s="210"/>
      <c r="Q68" s="73" t="s">
        <v>22</v>
      </c>
    </row>
    <row r="69" spans="1:17" s="93" customFormat="1" ht="14.25" x14ac:dyDescent="0.45">
      <c r="A69" s="73">
        <v>3</v>
      </c>
      <c r="B69" s="137" t="s">
        <v>66</v>
      </c>
      <c r="C69" s="137" t="s">
        <v>521</v>
      </c>
      <c r="D69" s="137" t="s">
        <v>522</v>
      </c>
      <c r="E69" s="73" t="s">
        <v>44</v>
      </c>
      <c r="F69" s="72">
        <f>G69/10.764</f>
        <v>38863.991081382388</v>
      </c>
      <c r="G69" s="72">
        <v>418332</v>
      </c>
      <c r="H69" s="72">
        <v>418332</v>
      </c>
      <c r="I69" s="72"/>
      <c r="J69" s="72"/>
      <c r="K69" s="72"/>
      <c r="L69" s="72"/>
      <c r="M69" s="72"/>
      <c r="N69" s="137"/>
      <c r="O69" s="205" t="s">
        <v>260</v>
      </c>
      <c r="P69" s="210"/>
      <c r="Q69" s="73" t="s">
        <v>22</v>
      </c>
    </row>
    <row r="70" spans="1:17" s="12" customFormat="1" ht="13.15" x14ac:dyDescent="0.45">
      <c r="A70" s="73"/>
      <c r="B70" s="228" t="s">
        <v>296</v>
      </c>
      <c r="C70" s="228"/>
      <c r="D70" s="228"/>
      <c r="E70" s="228"/>
      <c r="F70" s="147">
        <f>SUM(F67:F67)</f>
        <v>23604.050538833148</v>
      </c>
      <c r="G70" s="147">
        <f>SUM(G67:G69)</f>
        <v>732684</v>
      </c>
      <c r="H70" s="147">
        <f>SUM(H67:H69)</f>
        <v>732684</v>
      </c>
      <c r="I70" s="147"/>
      <c r="J70" s="147"/>
      <c r="K70" s="147"/>
      <c r="L70" s="192"/>
      <c r="M70" s="192"/>
      <c r="N70" s="147"/>
      <c r="O70" s="73"/>
      <c r="P70" s="73"/>
      <c r="Q70" s="197"/>
    </row>
    <row r="71" spans="1:17" s="20" customFormat="1" ht="17.25" x14ac:dyDescent="0.45">
      <c r="A71" s="211"/>
      <c r="B71" s="212"/>
      <c r="C71" s="212"/>
      <c r="D71" s="212"/>
      <c r="E71" s="213" t="s">
        <v>88</v>
      </c>
      <c r="F71" s="214">
        <f>F28+F41+F44+F47+F50+F56+F65+F70</f>
        <v>899929.39427722048</v>
      </c>
      <c r="G71" s="214">
        <f>G28+G41+G44+G47+G50+G56+G65+G70</f>
        <v>10454162</v>
      </c>
      <c r="H71" s="214">
        <f>H28+H41+H44+H47+H50+H56+H65+H70</f>
        <v>10139162</v>
      </c>
      <c r="I71" s="214"/>
      <c r="J71" s="214"/>
      <c r="K71" s="214"/>
      <c r="L71" s="215"/>
      <c r="M71" s="215"/>
      <c r="N71" s="214"/>
      <c r="O71" s="171"/>
      <c r="P71" s="171"/>
      <c r="Q71" s="212"/>
    </row>
    <row r="72" spans="1:17" ht="15" customHeight="1" x14ac:dyDescent="0.45">
      <c r="A72" s="109"/>
      <c r="B72" s="90"/>
      <c r="C72" s="90"/>
      <c r="D72" s="90"/>
      <c r="E72" s="95"/>
      <c r="F72" s="90"/>
      <c r="G72" s="90"/>
      <c r="H72" s="90"/>
      <c r="I72" s="109"/>
      <c r="J72" s="109"/>
      <c r="K72" s="109"/>
      <c r="L72" s="90"/>
      <c r="M72" s="90"/>
      <c r="N72" s="90"/>
      <c r="O72" s="109"/>
      <c r="P72" s="109"/>
      <c r="Q72" s="96"/>
    </row>
    <row r="73" spans="1:17" ht="15" customHeight="1" x14ac:dyDescent="0.45">
      <c r="A73" s="109"/>
      <c r="B73" s="90"/>
      <c r="C73" s="90"/>
      <c r="D73" s="90"/>
      <c r="E73" s="95"/>
      <c r="F73" s="90"/>
      <c r="G73" s="90"/>
      <c r="H73" s="90"/>
      <c r="I73" s="109"/>
      <c r="J73" s="109"/>
      <c r="K73" s="109"/>
      <c r="L73" s="90"/>
      <c r="M73" s="90"/>
      <c r="N73" s="90"/>
      <c r="O73" s="109"/>
      <c r="P73" s="109"/>
      <c r="Q73" s="96"/>
    </row>
    <row r="74" spans="1:17" ht="15" customHeight="1" x14ac:dyDescent="0.45">
      <c r="A74" s="109"/>
      <c r="B74" s="90"/>
      <c r="C74" s="90"/>
      <c r="D74" s="90"/>
      <c r="E74" s="95"/>
      <c r="F74" s="90"/>
      <c r="G74" s="90"/>
      <c r="H74" s="90"/>
      <c r="I74" s="109"/>
      <c r="J74" s="109"/>
      <c r="K74" s="109"/>
      <c r="L74" s="90"/>
      <c r="M74" s="90"/>
      <c r="N74" s="90"/>
      <c r="O74" s="109"/>
      <c r="P74" s="109"/>
      <c r="Q74" s="96"/>
    </row>
    <row r="75" spans="1:17" ht="15" customHeight="1" x14ac:dyDescent="0.45">
      <c r="A75" s="109"/>
      <c r="B75" s="90"/>
      <c r="C75" s="90"/>
      <c r="D75" s="90"/>
      <c r="E75" s="95"/>
      <c r="F75" s="90"/>
      <c r="G75" s="90"/>
      <c r="H75" s="90"/>
      <c r="I75" s="109"/>
      <c r="J75" s="109"/>
      <c r="K75" s="109"/>
      <c r="L75" s="90"/>
      <c r="M75" s="90"/>
      <c r="N75" s="90"/>
      <c r="O75" s="109"/>
      <c r="P75" s="109"/>
      <c r="Q75" s="96"/>
    </row>
    <row r="76" spans="1:17" ht="15" customHeight="1" x14ac:dyDescent="0.45">
      <c r="A76" s="109"/>
      <c r="B76" s="90"/>
      <c r="C76" s="90"/>
      <c r="D76" s="90"/>
      <c r="E76" s="95"/>
      <c r="F76" s="90"/>
      <c r="G76" s="90"/>
      <c r="H76" s="90"/>
      <c r="I76" s="109"/>
      <c r="J76" s="109"/>
      <c r="K76" s="109"/>
      <c r="L76" s="90"/>
      <c r="M76" s="90"/>
      <c r="N76" s="90"/>
      <c r="O76" s="109"/>
      <c r="P76" s="109"/>
      <c r="Q76" s="96"/>
    </row>
    <row r="77" spans="1:17" ht="15" customHeight="1" x14ac:dyDescent="0.45">
      <c r="A77" s="109"/>
      <c r="B77" s="90"/>
      <c r="C77" s="90"/>
      <c r="D77" s="90"/>
      <c r="E77" s="95"/>
      <c r="F77" s="90"/>
      <c r="G77" s="90"/>
      <c r="H77" s="90"/>
      <c r="I77" s="109"/>
      <c r="J77" s="109"/>
      <c r="K77" s="109"/>
      <c r="L77" s="90"/>
      <c r="M77" s="90"/>
      <c r="N77" s="90"/>
      <c r="O77" s="109"/>
      <c r="P77" s="109"/>
      <c r="Q77" s="96"/>
    </row>
    <row r="78" spans="1:17" ht="15" customHeight="1" x14ac:dyDescent="0.45">
      <c r="A78" s="109"/>
      <c r="B78" s="90"/>
      <c r="C78" s="90"/>
      <c r="D78" s="90"/>
      <c r="E78" s="95"/>
      <c r="F78" s="90"/>
      <c r="G78" s="90"/>
      <c r="H78" s="90"/>
      <c r="I78" s="109"/>
      <c r="J78" s="109"/>
      <c r="K78" s="109"/>
      <c r="L78" s="90"/>
      <c r="M78" s="90"/>
      <c r="N78" s="90"/>
      <c r="O78" s="109"/>
      <c r="P78" s="109"/>
      <c r="Q78" s="96"/>
    </row>
    <row r="79" spans="1:17" ht="15" customHeight="1" x14ac:dyDescent="0.45">
      <c r="A79" s="109"/>
      <c r="B79" s="90"/>
      <c r="C79" s="90"/>
      <c r="D79" s="90"/>
      <c r="E79" s="95"/>
      <c r="F79" s="90"/>
      <c r="G79" s="90"/>
      <c r="H79" s="90"/>
      <c r="I79" s="109"/>
      <c r="J79" s="109"/>
      <c r="K79" s="109"/>
      <c r="L79" s="90"/>
      <c r="M79" s="90"/>
      <c r="N79" s="90"/>
      <c r="O79" s="109"/>
      <c r="P79" s="109"/>
      <c r="Q79" s="96"/>
    </row>
    <row r="80" spans="1:17" ht="15" customHeight="1" x14ac:dyDescent="0.45">
      <c r="A80" s="109"/>
      <c r="B80" s="90"/>
      <c r="C80" s="90"/>
      <c r="D80" s="90"/>
      <c r="E80" s="95"/>
      <c r="F80" s="90"/>
      <c r="G80" s="90"/>
      <c r="H80" s="90"/>
      <c r="I80" s="109"/>
      <c r="J80" s="109"/>
      <c r="K80" s="109"/>
      <c r="L80" s="90"/>
      <c r="M80" s="90"/>
      <c r="N80" s="90"/>
      <c r="O80" s="109"/>
      <c r="P80" s="109"/>
      <c r="Q80" s="96"/>
    </row>
    <row r="81" spans="1:17" ht="15" customHeight="1" x14ac:dyDescent="0.45">
      <c r="A81" s="109"/>
      <c r="B81" s="90"/>
      <c r="C81" s="90"/>
      <c r="D81" s="90"/>
      <c r="E81" s="95"/>
      <c r="F81" s="90"/>
      <c r="G81" s="90"/>
      <c r="H81" s="90"/>
      <c r="I81" s="109"/>
      <c r="J81" s="109"/>
      <c r="K81" s="109"/>
      <c r="L81" s="90"/>
      <c r="M81" s="90"/>
      <c r="N81" s="90"/>
      <c r="O81" s="109"/>
      <c r="P81" s="109"/>
      <c r="Q81" s="96"/>
    </row>
    <row r="82" spans="1:17" ht="15" customHeight="1" x14ac:dyDescent="0.45">
      <c r="A82" s="109"/>
      <c r="B82" s="90"/>
      <c r="C82" s="90"/>
      <c r="D82" s="90"/>
      <c r="E82" s="95"/>
      <c r="F82" s="90"/>
      <c r="G82" s="90"/>
      <c r="H82" s="90"/>
      <c r="I82" s="109"/>
      <c r="J82" s="109"/>
      <c r="K82" s="109"/>
      <c r="L82" s="90"/>
      <c r="M82" s="90"/>
      <c r="N82" s="90"/>
      <c r="O82" s="109"/>
      <c r="P82" s="109"/>
      <c r="Q82" s="96"/>
    </row>
    <row r="83" spans="1:17" ht="15" customHeight="1" x14ac:dyDescent="0.45">
      <c r="A83" s="109"/>
      <c r="B83" s="90"/>
      <c r="C83" s="90"/>
      <c r="D83" s="90"/>
      <c r="E83" s="95"/>
      <c r="F83" s="90"/>
      <c r="G83" s="90"/>
      <c r="H83" s="90"/>
      <c r="I83" s="109"/>
      <c r="J83" s="109"/>
      <c r="K83" s="109"/>
      <c r="L83" s="90"/>
      <c r="M83" s="90"/>
      <c r="N83" s="90"/>
      <c r="O83" s="109"/>
      <c r="P83" s="109"/>
      <c r="Q83" s="96"/>
    </row>
    <row r="84" spans="1:17" ht="15" customHeight="1" x14ac:dyDescent="0.45">
      <c r="A84" s="109"/>
      <c r="B84" s="90"/>
      <c r="C84" s="90"/>
      <c r="D84" s="90"/>
      <c r="E84" s="95"/>
      <c r="F84" s="90"/>
      <c r="G84" s="90"/>
      <c r="H84" s="90"/>
      <c r="I84" s="109"/>
      <c r="J84" s="109"/>
      <c r="K84" s="109"/>
      <c r="L84" s="90"/>
      <c r="M84" s="90"/>
      <c r="N84" s="90"/>
      <c r="O84" s="109"/>
      <c r="P84" s="109"/>
      <c r="Q84" s="96"/>
    </row>
    <row r="85" spans="1:17" ht="15" customHeight="1" x14ac:dyDescent="0.45">
      <c r="A85" s="109"/>
      <c r="B85" s="90"/>
      <c r="C85" s="90"/>
      <c r="D85" s="90"/>
      <c r="E85" s="95"/>
      <c r="F85" s="90"/>
      <c r="G85" s="90"/>
      <c r="H85" s="90"/>
      <c r="I85" s="109"/>
      <c r="J85" s="109"/>
      <c r="K85" s="109"/>
      <c r="L85" s="90"/>
      <c r="M85" s="90"/>
      <c r="N85" s="90"/>
      <c r="O85" s="109"/>
      <c r="P85" s="109"/>
      <c r="Q85" s="96"/>
    </row>
    <row r="86" spans="1:17" ht="15" customHeight="1" x14ac:dyDescent="0.45">
      <c r="A86" s="109"/>
      <c r="B86" s="90"/>
      <c r="C86" s="90"/>
      <c r="D86" s="90"/>
      <c r="E86" s="95"/>
      <c r="F86" s="90"/>
      <c r="G86" s="90"/>
      <c r="H86" s="90"/>
      <c r="I86" s="109"/>
      <c r="J86" s="109"/>
      <c r="K86" s="109"/>
      <c r="L86" s="90"/>
      <c r="M86" s="90"/>
      <c r="N86" s="90"/>
      <c r="O86" s="109"/>
      <c r="P86" s="109"/>
      <c r="Q86" s="96"/>
    </row>
    <row r="87" spans="1:17" ht="15" customHeight="1" x14ac:dyDescent="0.45">
      <c r="A87" s="109"/>
      <c r="B87" s="90"/>
      <c r="C87" s="90"/>
      <c r="D87" s="90"/>
      <c r="E87" s="95"/>
      <c r="F87" s="90"/>
      <c r="G87" s="90"/>
      <c r="H87" s="90"/>
      <c r="I87" s="109"/>
      <c r="J87" s="109"/>
      <c r="K87" s="109"/>
      <c r="L87" s="90"/>
      <c r="M87" s="90"/>
      <c r="N87" s="90"/>
      <c r="O87" s="109"/>
      <c r="P87" s="109"/>
      <c r="Q87" s="96"/>
    </row>
    <row r="88" spans="1:17" ht="15" customHeight="1" x14ac:dyDescent="0.45">
      <c r="A88" s="109"/>
      <c r="B88" s="90"/>
      <c r="C88" s="90"/>
      <c r="D88" s="90"/>
      <c r="E88" s="95"/>
      <c r="F88" s="90"/>
      <c r="G88" s="90"/>
      <c r="H88" s="90"/>
      <c r="I88" s="109"/>
      <c r="J88" s="109"/>
      <c r="K88" s="109"/>
      <c r="L88" s="90"/>
      <c r="M88" s="90"/>
      <c r="N88" s="90"/>
      <c r="O88" s="109"/>
      <c r="P88" s="109"/>
      <c r="Q88" s="96"/>
    </row>
    <row r="89" spans="1:17" ht="15" customHeight="1" x14ac:dyDescent="0.45">
      <c r="A89" s="109"/>
      <c r="B89" s="90"/>
      <c r="C89" s="90"/>
      <c r="D89" s="90"/>
      <c r="E89" s="95"/>
      <c r="F89" s="90"/>
      <c r="G89" s="90"/>
      <c r="H89" s="90"/>
      <c r="I89" s="109"/>
      <c r="J89" s="109"/>
      <c r="K89" s="109"/>
      <c r="L89" s="90"/>
      <c r="M89" s="90"/>
      <c r="N89" s="90"/>
      <c r="O89" s="109"/>
      <c r="P89" s="109"/>
      <c r="Q89" s="96"/>
    </row>
    <row r="90" spans="1:17" ht="15" customHeight="1" x14ac:dyDescent="0.45">
      <c r="A90" s="109"/>
      <c r="B90" s="90"/>
      <c r="C90" s="90"/>
      <c r="D90" s="90"/>
      <c r="E90" s="95"/>
      <c r="F90" s="90"/>
      <c r="G90" s="90"/>
      <c r="H90" s="90"/>
      <c r="I90" s="109"/>
      <c r="J90" s="109"/>
      <c r="K90" s="109"/>
      <c r="L90" s="90"/>
      <c r="M90" s="90"/>
      <c r="N90" s="90"/>
      <c r="O90" s="109"/>
      <c r="P90" s="109"/>
      <c r="Q90" s="96"/>
    </row>
    <row r="91" spans="1:17" ht="15" customHeight="1" x14ac:dyDescent="0.45">
      <c r="A91" s="109"/>
      <c r="B91" s="90"/>
      <c r="C91" s="90"/>
      <c r="D91" s="90"/>
      <c r="E91" s="95"/>
      <c r="F91" s="90"/>
      <c r="G91" s="90"/>
      <c r="H91" s="90"/>
      <c r="I91" s="109"/>
      <c r="J91" s="109"/>
      <c r="K91" s="109"/>
      <c r="L91" s="90"/>
      <c r="M91" s="90"/>
      <c r="N91" s="90"/>
      <c r="O91" s="109"/>
      <c r="P91" s="109"/>
      <c r="Q91" s="96"/>
    </row>
    <row r="92" spans="1:17" ht="15" customHeight="1" x14ac:dyDescent="0.45">
      <c r="A92" s="109"/>
      <c r="B92" s="90"/>
      <c r="C92" s="90"/>
      <c r="D92" s="90"/>
      <c r="E92" s="95"/>
      <c r="F92" s="90"/>
      <c r="G92" s="90"/>
      <c r="H92" s="90"/>
      <c r="I92" s="109"/>
      <c r="J92" s="109"/>
      <c r="K92" s="109"/>
      <c r="L92" s="90"/>
      <c r="M92" s="90"/>
      <c r="N92" s="90"/>
      <c r="O92" s="109"/>
      <c r="P92" s="109"/>
      <c r="Q92" s="96"/>
    </row>
    <row r="93" spans="1:17" ht="15" customHeight="1" x14ac:dyDescent="0.45">
      <c r="A93" s="109"/>
      <c r="B93" s="90"/>
      <c r="C93" s="90"/>
      <c r="D93" s="90"/>
      <c r="E93" s="95"/>
      <c r="F93" s="90"/>
      <c r="G93" s="90"/>
      <c r="H93" s="90"/>
      <c r="I93" s="109"/>
      <c r="J93" s="109"/>
      <c r="K93" s="109"/>
      <c r="L93" s="90"/>
      <c r="M93" s="90"/>
      <c r="N93" s="90"/>
      <c r="O93" s="109"/>
      <c r="P93" s="109"/>
      <c r="Q93" s="96"/>
    </row>
    <row r="94" spans="1:17" ht="15" customHeight="1" x14ac:dyDescent="0.45">
      <c r="A94" s="109"/>
      <c r="B94" s="90"/>
      <c r="C94" s="90"/>
      <c r="D94" s="90"/>
      <c r="E94" s="95"/>
      <c r="F94" s="90"/>
      <c r="G94" s="90"/>
      <c r="H94" s="90"/>
      <c r="I94" s="109"/>
      <c r="J94" s="109"/>
      <c r="K94" s="109"/>
      <c r="L94" s="90"/>
      <c r="M94" s="90"/>
      <c r="N94" s="90"/>
      <c r="O94" s="109"/>
      <c r="P94" s="109"/>
      <c r="Q94" s="96"/>
    </row>
    <row r="95" spans="1:17" ht="15" customHeight="1" x14ac:dyDescent="0.45">
      <c r="A95" s="109"/>
      <c r="B95" s="90"/>
      <c r="C95" s="90"/>
      <c r="D95" s="90"/>
      <c r="E95" s="95"/>
      <c r="F95" s="90"/>
      <c r="G95" s="90"/>
      <c r="H95" s="90"/>
      <c r="I95" s="109"/>
      <c r="J95" s="109"/>
      <c r="K95" s="109"/>
      <c r="L95" s="90"/>
      <c r="M95" s="90"/>
      <c r="N95" s="90"/>
      <c r="O95" s="109"/>
      <c r="P95" s="109"/>
      <c r="Q95" s="96"/>
    </row>
    <row r="96" spans="1:17" ht="15" customHeight="1" x14ac:dyDescent="0.45">
      <c r="A96" s="109"/>
      <c r="B96" s="90"/>
      <c r="C96" s="90"/>
      <c r="D96" s="90"/>
      <c r="E96" s="95"/>
      <c r="F96" s="90"/>
      <c r="G96" s="90"/>
      <c r="H96" s="90"/>
      <c r="I96" s="109"/>
      <c r="J96" s="109"/>
      <c r="K96" s="109"/>
      <c r="L96" s="90"/>
      <c r="M96" s="90"/>
      <c r="N96" s="90"/>
      <c r="O96" s="109"/>
      <c r="P96" s="109"/>
      <c r="Q96" s="96"/>
    </row>
    <row r="97" spans="1:17" ht="15" customHeight="1" x14ac:dyDescent="0.45">
      <c r="A97" s="109"/>
      <c r="B97" s="90"/>
      <c r="C97" s="90"/>
      <c r="D97" s="90"/>
      <c r="E97" s="95"/>
      <c r="F97" s="90"/>
      <c r="G97" s="90"/>
      <c r="H97" s="90"/>
      <c r="I97" s="109"/>
      <c r="J97" s="109"/>
      <c r="K97" s="109"/>
      <c r="L97" s="90"/>
      <c r="M97" s="90"/>
      <c r="N97" s="90"/>
      <c r="O97" s="109"/>
      <c r="P97" s="109"/>
      <c r="Q97" s="96"/>
    </row>
    <row r="98" spans="1:17" ht="15" customHeight="1" x14ac:dyDescent="0.45">
      <c r="A98" s="109"/>
      <c r="B98" s="90"/>
      <c r="C98" s="90"/>
      <c r="D98" s="90"/>
      <c r="E98" s="95"/>
      <c r="F98" s="90"/>
      <c r="G98" s="90"/>
      <c r="H98" s="90"/>
      <c r="I98" s="109"/>
      <c r="J98" s="109"/>
      <c r="K98" s="109"/>
      <c r="L98" s="90"/>
      <c r="M98" s="90"/>
      <c r="N98" s="90"/>
      <c r="O98" s="109"/>
      <c r="P98" s="109"/>
      <c r="Q98" s="96"/>
    </row>
    <row r="99" spans="1:17" ht="15" customHeight="1" x14ac:dyDescent="0.45">
      <c r="A99" s="109"/>
      <c r="B99" s="90"/>
      <c r="C99" s="90"/>
      <c r="D99" s="90"/>
      <c r="E99" s="95"/>
      <c r="F99" s="90"/>
      <c r="G99" s="90"/>
      <c r="H99" s="90"/>
      <c r="I99" s="109"/>
      <c r="J99" s="109"/>
      <c r="K99" s="109"/>
      <c r="L99" s="90"/>
      <c r="M99" s="90"/>
      <c r="N99" s="90"/>
      <c r="O99" s="109"/>
      <c r="P99" s="109"/>
      <c r="Q99" s="96"/>
    </row>
    <row r="100" spans="1:17" ht="15" customHeight="1" x14ac:dyDescent="0.45">
      <c r="A100" s="109"/>
      <c r="B100" s="90"/>
      <c r="C100" s="90"/>
      <c r="D100" s="90"/>
      <c r="E100" s="95"/>
      <c r="F100" s="90"/>
      <c r="G100" s="90"/>
      <c r="H100" s="90"/>
      <c r="I100" s="109"/>
      <c r="J100" s="109"/>
      <c r="K100" s="109"/>
      <c r="L100" s="90"/>
      <c r="M100" s="90"/>
      <c r="N100" s="90"/>
      <c r="O100" s="109"/>
      <c r="P100" s="109"/>
      <c r="Q100" s="96"/>
    </row>
    <row r="101" spans="1:17" ht="15" customHeight="1" x14ac:dyDescent="0.45">
      <c r="A101" s="109"/>
      <c r="B101" s="90"/>
      <c r="C101" s="90"/>
      <c r="D101" s="90"/>
      <c r="E101" s="95"/>
      <c r="F101" s="90"/>
      <c r="G101" s="90"/>
      <c r="H101" s="90"/>
      <c r="I101" s="109"/>
      <c r="J101" s="109"/>
      <c r="K101" s="109"/>
      <c r="L101" s="90"/>
      <c r="M101" s="90"/>
      <c r="N101" s="90"/>
      <c r="O101" s="109"/>
      <c r="P101" s="109"/>
      <c r="Q101" s="96"/>
    </row>
    <row r="102" spans="1:17" ht="15" customHeight="1" x14ac:dyDescent="0.45">
      <c r="A102" s="109"/>
      <c r="B102" s="90"/>
      <c r="C102" s="90"/>
      <c r="D102" s="90"/>
      <c r="E102" s="95"/>
      <c r="F102" s="90"/>
      <c r="G102" s="90"/>
      <c r="H102" s="90"/>
      <c r="I102" s="109"/>
      <c r="J102" s="109"/>
      <c r="K102" s="109"/>
      <c r="L102" s="90"/>
      <c r="M102" s="90"/>
      <c r="N102" s="90"/>
      <c r="O102" s="109"/>
      <c r="P102" s="109"/>
      <c r="Q102" s="96"/>
    </row>
    <row r="103" spans="1:17" ht="15" customHeight="1" x14ac:dyDescent="0.45">
      <c r="A103" s="109"/>
      <c r="B103" s="90"/>
      <c r="C103" s="90"/>
      <c r="D103" s="90"/>
      <c r="E103" s="95"/>
      <c r="F103" s="90"/>
      <c r="G103" s="90"/>
      <c r="H103" s="90"/>
      <c r="I103" s="109"/>
      <c r="J103" s="109"/>
      <c r="K103" s="109"/>
      <c r="L103" s="90"/>
      <c r="M103" s="90"/>
      <c r="N103" s="90"/>
      <c r="O103" s="109"/>
      <c r="P103" s="109"/>
      <c r="Q103" s="96"/>
    </row>
    <row r="104" spans="1:17" ht="15" customHeight="1" x14ac:dyDescent="0.45">
      <c r="A104" s="109"/>
      <c r="B104" s="90"/>
      <c r="C104" s="90"/>
      <c r="D104" s="90"/>
      <c r="E104" s="95"/>
      <c r="F104" s="90"/>
      <c r="G104" s="90"/>
      <c r="H104" s="90"/>
      <c r="I104" s="109"/>
      <c r="J104" s="109"/>
      <c r="K104" s="109"/>
      <c r="L104" s="90"/>
      <c r="M104" s="90"/>
      <c r="N104" s="90"/>
      <c r="O104" s="109"/>
      <c r="P104" s="109"/>
      <c r="Q104" s="96"/>
    </row>
    <row r="105" spans="1:17" ht="15" customHeight="1" x14ac:dyDescent="0.45">
      <c r="A105" s="109"/>
      <c r="B105" s="90"/>
      <c r="C105" s="90"/>
      <c r="D105" s="90"/>
      <c r="E105" s="95"/>
      <c r="F105" s="90"/>
      <c r="G105" s="90"/>
      <c r="H105" s="90"/>
      <c r="I105" s="109"/>
      <c r="J105" s="109"/>
      <c r="K105" s="109"/>
      <c r="L105" s="90"/>
      <c r="M105" s="90"/>
      <c r="N105" s="90"/>
      <c r="O105" s="109"/>
      <c r="P105" s="109"/>
      <c r="Q105" s="96"/>
    </row>
    <row r="106" spans="1:17" ht="15" customHeight="1" x14ac:dyDescent="0.45">
      <c r="A106" s="109"/>
      <c r="B106" s="90"/>
      <c r="C106" s="90"/>
      <c r="D106" s="90"/>
      <c r="E106" s="95"/>
      <c r="F106" s="90"/>
      <c r="G106" s="90"/>
      <c r="H106" s="90"/>
      <c r="I106" s="109"/>
      <c r="J106" s="109"/>
      <c r="K106" s="109"/>
      <c r="L106" s="90"/>
      <c r="M106" s="90"/>
      <c r="N106" s="90"/>
      <c r="O106" s="109"/>
      <c r="P106" s="109"/>
      <c r="Q106" s="96"/>
    </row>
    <row r="107" spans="1:17" ht="15" customHeight="1" x14ac:dyDescent="0.45">
      <c r="A107" s="109"/>
      <c r="B107" s="90"/>
      <c r="C107" s="90"/>
      <c r="D107" s="90"/>
      <c r="E107" s="95"/>
      <c r="F107" s="90"/>
      <c r="G107" s="90"/>
      <c r="H107" s="90"/>
      <c r="I107" s="109"/>
      <c r="J107" s="109"/>
      <c r="K107" s="109"/>
      <c r="L107" s="90"/>
      <c r="M107" s="90"/>
      <c r="N107" s="90"/>
      <c r="O107" s="109"/>
      <c r="P107" s="109"/>
      <c r="Q107" s="96"/>
    </row>
    <row r="108" spans="1:17" ht="15" customHeight="1" x14ac:dyDescent="0.45">
      <c r="A108" s="109"/>
      <c r="B108" s="90"/>
      <c r="C108" s="90"/>
      <c r="D108" s="90"/>
      <c r="E108" s="95"/>
      <c r="F108" s="90"/>
      <c r="G108" s="90"/>
      <c r="H108" s="90"/>
      <c r="I108" s="109"/>
      <c r="J108" s="109"/>
      <c r="K108" s="109"/>
      <c r="L108" s="90"/>
      <c r="M108" s="90"/>
      <c r="N108" s="90"/>
      <c r="O108" s="109"/>
      <c r="P108" s="109"/>
      <c r="Q108" s="96"/>
    </row>
    <row r="109" spans="1:17" ht="15" customHeight="1" x14ac:dyDescent="0.45">
      <c r="A109" s="109"/>
      <c r="B109" s="90"/>
      <c r="C109" s="90"/>
      <c r="D109" s="90"/>
      <c r="E109" s="95"/>
      <c r="F109" s="90"/>
      <c r="G109" s="90"/>
      <c r="H109" s="90"/>
      <c r="I109" s="109"/>
      <c r="J109" s="109"/>
      <c r="K109" s="109"/>
      <c r="L109" s="90"/>
      <c r="M109" s="90"/>
      <c r="N109" s="90"/>
      <c r="O109" s="109"/>
      <c r="P109" s="109"/>
      <c r="Q109" s="96"/>
    </row>
    <row r="110" spans="1:17" ht="15" customHeight="1" x14ac:dyDescent="0.45">
      <c r="A110" s="109"/>
      <c r="B110" s="90"/>
      <c r="C110" s="90"/>
      <c r="D110" s="90"/>
      <c r="E110" s="95"/>
      <c r="F110" s="90"/>
      <c r="G110" s="90"/>
      <c r="H110" s="90"/>
      <c r="I110" s="109"/>
      <c r="J110" s="109"/>
      <c r="K110" s="109"/>
      <c r="L110" s="90"/>
      <c r="M110" s="90"/>
      <c r="N110" s="90"/>
      <c r="O110" s="109"/>
      <c r="P110" s="109"/>
      <c r="Q110" s="96"/>
    </row>
    <row r="111" spans="1:17" ht="15" customHeight="1" x14ac:dyDescent="0.45">
      <c r="A111" s="109"/>
      <c r="B111" s="90"/>
      <c r="C111" s="90"/>
      <c r="D111" s="90"/>
      <c r="E111" s="95"/>
      <c r="F111" s="90"/>
      <c r="G111" s="90"/>
      <c r="H111" s="90"/>
      <c r="I111" s="109"/>
      <c r="J111" s="109"/>
      <c r="K111" s="109"/>
      <c r="L111" s="90"/>
      <c r="M111" s="90"/>
      <c r="N111" s="90"/>
      <c r="O111" s="109"/>
      <c r="P111" s="109"/>
      <c r="Q111" s="96"/>
    </row>
    <row r="112" spans="1:17" ht="15" customHeight="1" x14ac:dyDescent="0.45">
      <c r="A112" s="109"/>
      <c r="B112" s="90"/>
      <c r="C112" s="90"/>
      <c r="D112" s="90"/>
      <c r="E112" s="95"/>
      <c r="F112" s="90"/>
      <c r="G112" s="90"/>
      <c r="H112" s="90"/>
      <c r="I112" s="109"/>
      <c r="J112" s="109"/>
      <c r="K112" s="109"/>
      <c r="L112" s="90"/>
      <c r="M112" s="90"/>
      <c r="N112" s="90"/>
      <c r="O112" s="109"/>
      <c r="P112" s="109"/>
      <c r="Q112" s="96"/>
    </row>
    <row r="113" spans="1:17" ht="15" customHeight="1" x14ac:dyDescent="0.45">
      <c r="A113" s="109"/>
      <c r="B113" s="90"/>
      <c r="C113" s="90"/>
      <c r="D113" s="90"/>
      <c r="E113" s="95"/>
      <c r="F113" s="90"/>
      <c r="G113" s="90"/>
      <c r="H113" s="90"/>
      <c r="I113" s="109"/>
      <c r="J113" s="109"/>
      <c r="K113" s="109"/>
      <c r="L113" s="90"/>
      <c r="M113" s="90"/>
      <c r="N113" s="90"/>
      <c r="O113" s="109"/>
      <c r="P113" s="109"/>
      <c r="Q113" s="96"/>
    </row>
    <row r="114" spans="1:17" ht="15" customHeight="1" x14ac:dyDescent="0.45">
      <c r="A114" s="109"/>
      <c r="B114" s="90"/>
      <c r="C114" s="90"/>
      <c r="D114" s="90"/>
      <c r="E114" s="95"/>
      <c r="F114" s="90"/>
      <c r="G114" s="90"/>
      <c r="H114" s="90"/>
      <c r="I114" s="109"/>
      <c r="J114" s="109"/>
      <c r="K114" s="109"/>
      <c r="L114" s="90"/>
      <c r="M114" s="90"/>
      <c r="N114" s="90"/>
      <c r="O114" s="109"/>
      <c r="P114" s="109"/>
      <c r="Q114" s="96"/>
    </row>
    <row r="115" spans="1:17" ht="15" customHeight="1" x14ac:dyDescent="0.45">
      <c r="A115" s="109"/>
      <c r="B115" s="90"/>
      <c r="C115" s="90"/>
      <c r="D115" s="90"/>
      <c r="E115" s="95"/>
      <c r="F115" s="90"/>
      <c r="G115" s="90"/>
      <c r="H115" s="90"/>
      <c r="I115" s="109"/>
      <c r="J115" s="109"/>
      <c r="K115" s="109"/>
      <c r="L115" s="90"/>
      <c r="M115" s="90"/>
      <c r="N115" s="90"/>
      <c r="O115" s="109"/>
      <c r="P115" s="109"/>
      <c r="Q115" s="96"/>
    </row>
    <row r="116" spans="1:17" ht="15" customHeight="1" x14ac:dyDescent="0.45">
      <c r="A116" s="109"/>
      <c r="B116" s="90"/>
      <c r="C116" s="90"/>
      <c r="D116" s="90"/>
      <c r="E116" s="95"/>
      <c r="F116" s="90"/>
      <c r="G116" s="90"/>
      <c r="H116" s="90"/>
      <c r="I116" s="109"/>
      <c r="J116" s="109"/>
      <c r="K116" s="109"/>
      <c r="L116" s="90"/>
      <c r="M116" s="90"/>
      <c r="N116" s="90"/>
      <c r="O116" s="109"/>
      <c r="P116" s="109"/>
      <c r="Q116" s="96"/>
    </row>
    <row r="117" spans="1:17" ht="15" customHeight="1" x14ac:dyDescent="0.45">
      <c r="A117" s="109"/>
      <c r="B117" s="90"/>
      <c r="C117" s="90"/>
      <c r="D117" s="90"/>
      <c r="E117" s="95"/>
      <c r="F117" s="90"/>
      <c r="G117" s="90"/>
      <c r="H117" s="90"/>
      <c r="I117" s="109"/>
      <c r="J117" s="109"/>
      <c r="K117" s="109"/>
      <c r="L117" s="90"/>
      <c r="M117" s="90"/>
      <c r="N117" s="90"/>
      <c r="O117" s="109"/>
      <c r="P117" s="109"/>
      <c r="Q117" s="96"/>
    </row>
    <row r="118" spans="1:17" ht="15" customHeight="1" x14ac:dyDescent="0.45">
      <c r="A118" s="109"/>
      <c r="B118" s="90"/>
      <c r="C118" s="90"/>
      <c r="D118" s="90"/>
      <c r="E118" s="95"/>
      <c r="F118" s="90"/>
      <c r="G118" s="90"/>
      <c r="H118" s="90"/>
      <c r="I118" s="109"/>
      <c r="J118" s="109"/>
      <c r="K118" s="109"/>
      <c r="L118" s="90"/>
      <c r="M118" s="90"/>
      <c r="N118" s="90"/>
      <c r="O118" s="109"/>
      <c r="P118" s="109"/>
      <c r="Q118" s="96"/>
    </row>
    <row r="119" spans="1:17" ht="15" customHeight="1" x14ac:dyDescent="0.45">
      <c r="A119" s="109"/>
      <c r="B119" s="90"/>
      <c r="C119" s="90"/>
      <c r="D119" s="90"/>
      <c r="E119" s="95"/>
      <c r="F119" s="90"/>
      <c r="G119" s="90"/>
      <c r="H119" s="90"/>
      <c r="I119" s="109"/>
      <c r="J119" s="109"/>
      <c r="K119" s="109"/>
      <c r="L119" s="90"/>
      <c r="M119" s="90"/>
      <c r="N119" s="90"/>
      <c r="O119" s="109"/>
      <c r="P119" s="109"/>
      <c r="Q119" s="96"/>
    </row>
    <row r="120" spans="1:17" ht="15" customHeight="1" x14ac:dyDescent="0.45">
      <c r="A120" s="109"/>
      <c r="B120" s="90"/>
      <c r="C120" s="90"/>
      <c r="D120" s="90"/>
      <c r="E120" s="95"/>
      <c r="F120" s="90"/>
      <c r="G120" s="90"/>
      <c r="H120" s="90"/>
      <c r="I120" s="109"/>
      <c r="J120" s="109"/>
      <c r="K120" s="109"/>
      <c r="L120" s="90"/>
      <c r="M120" s="90"/>
      <c r="N120" s="90"/>
      <c r="O120" s="109"/>
      <c r="P120" s="109"/>
      <c r="Q120" s="96"/>
    </row>
    <row r="121" spans="1:17" ht="15" customHeight="1" x14ac:dyDescent="0.45">
      <c r="A121" s="109"/>
      <c r="B121" s="90"/>
      <c r="C121" s="90"/>
      <c r="D121" s="90"/>
      <c r="E121" s="95"/>
      <c r="F121" s="90"/>
      <c r="G121" s="90"/>
      <c r="H121" s="90"/>
      <c r="I121" s="109"/>
      <c r="J121" s="109"/>
      <c r="K121" s="109"/>
      <c r="L121" s="90"/>
      <c r="M121" s="90"/>
      <c r="N121" s="90"/>
      <c r="O121" s="109"/>
      <c r="P121" s="109"/>
      <c r="Q121" s="96"/>
    </row>
    <row r="122" spans="1:17" ht="15" customHeight="1" x14ac:dyDescent="0.45">
      <c r="A122" s="109"/>
      <c r="B122" s="90"/>
      <c r="C122" s="90"/>
      <c r="D122" s="90"/>
      <c r="E122" s="95"/>
      <c r="F122" s="90"/>
      <c r="G122" s="90"/>
      <c r="H122" s="90"/>
      <c r="I122" s="109"/>
      <c r="J122" s="109"/>
      <c r="K122" s="109"/>
      <c r="L122" s="90"/>
      <c r="M122" s="90"/>
      <c r="N122" s="90"/>
      <c r="O122" s="109"/>
      <c r="P122" s="109"/>
      <c r="Q122" s="96"/>
    </row>
    <row r="123" spans="1:17" ht="15" customHeight="1" x14ac:dyDescent="0.45">
      <c r="A123" s="109"/>
      <c r="B123" s="90"/>
      <c r="C123" s="90"/>
      <c r="D123" s="90"/>
      <c r="E123" s="95"/>
      <c r="F123" s="90"/>
      <c r="G123" s="90"/>
      <c r="H123" s="90"/>
      <c r="I123" s="109"/>
      <c r="J123" s="109"/>
      <c r="K123" s="109"/>
      <c r="L123" s="90"/>
      <c r="M123" s="90"/>
      <c r="N123" s="90"/>
      <c r="O123" s="109"/>
      <c r="P123" s="109"/>
      <c r="Q123" s="96"/>
    </row>
    <row r="124" spans="1:17" ht="15" customHeight="1" x14ac:dyDescent="0.45">
      <c r="A124" s="109"/>
      <c r="B124" s="90"/>
      <c r="C124" s="90"/>
      <c r="D124" s="90"/>
      <c r="E124" s="95"/>
      <c r="F124" s="90"/>
      <c r="G124" s="90"/>
      <c r="H124" s="90"/>
      <c r="I124" s="109"/>
      <c r="J124" s="109"/>
      <c r="K124" s="109"/>
      <c r="L124" s="90"/>
      <c r="M124" s="90"/>
      <c r="N124" s="90"/>
      <c r="O124" s="109"/>
      <c r="P124" s="109"/>
      <c r="Q124" s="96"/>
    </row>
    <row r="125" spans="1:17" ht="15" customHeight="1" x14ac:dyDescent="0.45">
      <c r="A125" s="109"/>
      <c r="B125" s="90"/>
      <c r="C125" s="90"/>
      <c r="D125" s="90"/>
      <c r="E125" s="95"/>
      <c r="F125" s="90"/>
      <c r="G125" s="90"/>
      <c r="H125" s="90"/>
      <c r="I125" s="109"/>
      <c r="J125" s="109"/>
      <c r="K125" s="109"/>
      <c r="L125" s="90"/>
      <c r="M125" s="90"/>
      <c r="N125" s="90"/>
      <c r="O125" s="109"/>
      <c r="P125" s="109"/>
      <c r="Q125" s="96"/>
    </row>
    <row r="126" spans="1:17" ht="15" customHeight="1" x14ac:dyDescent="0.45">
      <c r="A126" s="109"/>
      <c r="B126" s="90"/>
      <c r="C126" s="90"/>
      <c r="D126" s="90"/>
      <c r="E126" s="95"/>
      <c r="F126" s="90"/>
      <c r="G126" s="90"/>
      <c r="H126" s="90"/>
      <c r="I126" s="109"/>
      <c r="J126" s="109"/>
      <c r="K126" s="109"/>
      <c r="L126" s="90"/>
      <c r="M126" s="90"/>
      <c r="N126" s="90"/>
      <c r="O126" s="109"/>
      <c r="P126" s="109"/>
      <c r="Q126" s="96"/>
    </row>
    <row r="127" spans="1:17" ht="15" customHeight="1" x14ac:dyDescent="0.45">
      <c r="A127" s="109"/>
      <c r="B127" s="90"/>
      <c r="C127" s="90"/>
      <c r="D127" s="90"/>
      <c r="E127" s="95"/>
      <c r="F127" s="90"/>
      <c r="G127" s="90"/>
      <c r="H127" s="90"/>
      <c r="I127" s="109"/>
      <c r="J127" s="109"/>
      <c r="K127" s="109"/>
      <c r="L127" s="90"/>
      <c r="M127" s="90"/>
      <c r="N127" s="90"/>
      <c r="O127" s="109"/>
      <c r="P127" s="109"/>
      <c r="Q127" s="96"/>
    </row>
    <row r="128" spans="1:17" ht="15" customHeight="1" x14ac:dyDescent="0.45">
      <c r="A128" s="109"/>
      <c r="B128" s="90"/>
      <c r="C128" s="90"/>
      <c r="D128" s="90"/>
      <c r="E128" s="95"/>
      <c r="F128" s="90"/>
      <c r="G128" s="90"/>
      <c r="H128" s="90"/>
      <c r="I128" s="109"/>
      <c r="J128" s="109"/>
      <c r="K128" s="109"/>
      <c r="L128" s="90"/>
      <c r="M128" s="90"/>
      <c r="N128" s="90"/>
      <c r="O128" s="109"/>
      <c r="P128" s="109"/>
      <c r="Q128" s="96"/>
    </row>
    <row r="129" spans="1:17" ht="15" customHeight="1" x14ac:dyDescent="0.45">
      <c r="A129" s="109"/>
      <c r="B129" s="90"/>
      <c r="C129" s="90"/>
      <c r="D129" s="90"/>
      <c r="E129" s="95"/>
      <c r="F129" s="90"/>
      <c r="G129" s="90"/>
      <c r="H129" s="90"/>
      <c r="I129" s="109"/>
      <c r="J129" s="109"/>
      <c r="K129" s="109"/>
      <c r="L129" s="90"/>
      <c r="M129" s="90"/>
      <c r="N129" s="90"/>
      <c r="O129" s="109"/>
      <c r="P129" s="109"/>
      <c r="Q129" s="96"/>
    </row>
    <row r="130" spans="1:17" ht="15" customHeight="1" x14ac:dyDescent="0.45">
      <c r="A130" s="109"/>
      <c r="B130" s="90"/>
      <c r="C130" s="90"/>
      <c r="D130" s="90"/>
      <c r="E130" s="95"/>
      <c r="F130" s="90"/>
      <c r="G130" s="90"/>
      <c r="H130" s="90"/>
      <c r="I130" s="109"/>
      <c r="J130" s="109"/>
      <c r="K130" s="109"/>
      <c r="L130" s="90"/>
      <c r="M130" s="90"/>
      <c r="N130" s="90"/>
      <c r="O130" s="109"/>
      <c r="P130" s="109"/>
      <c r="Q130" s="96"/>
    </row>
    <row r="131" spans="1:17" ht="15" customHeight="1" x14ac:dyDescent="0.45">
      <c r="A131" s="109"/>
      <c r="B131" s="90"/>
      <c r="C131" s="90"/>
      <c r="D131" s="90"/>
      <c r="E131" s="95"/>
      <c r="F131" s="90"/>
      <c r="G131" s="90"/>
      <c r="H131" s="90"/>
      <c r="I131" s="109"/>
      <c r="J131" s="109"/>
      <c r="K131" s="109"/>
      <c r="L131" s="90"/>
      <c r="M131" s="90"/>
      <c r="N131" s="90"/>
      <c r="O131" s="109"/>
      <c r="P131" s="109"/>
      <c r="Q131" s="96"/>
    </row>
    <row r="132" spans="1:17" ht="15" customHeight="1" x14ac:dyDescent="0.45">
      <c r="A132" s="109"/>
      <c r="B132" s="90"/>
      <c r="C132" s="90"/>
      <c r="D132" s="90"/>
      <c r="E132" s="95"/>
      <c r="F132" s="90"/>
      <c r="G132" s="90"/>
      <c r="H132" s="90"/>
      <c r="I132" s="109"/>
      <c r="J132" s="109"/>
      <c r="K132" s="109"/>
      <c r="L132" s="90"/>
      <c r="M132" s="90"/>
      <c r="N132" s="90"/>
      <c r="O132" s="109"/>
      <c r="P132" s="109"/>
      <c r="Q132" s="96"/>
    </row>
    <row r="133" spans="1:17" ht="15" customHeight="1" x14ac:dyDescent="0.45">
      <c r="A133" s="109"/>
      <c r="B133" s="90"/>
      <c r="C133" s="90"/>
      <c r="D133" s="90"/>
      <c r="E133" s="95"/>
      <c r="F133" s="90"/>
      <c r="G133" s="90"/>
      <c r="H133" s="90"/>
      <c r="I133" s="109"/>
      <c r="J133" s="109"/>
      <c r="K133" s="109"/>
      <c r="L133" s="90"/>
      <c r="M133" s="90"/>
      <c r="N133" s="90"/>
      <c r="O133" s="109"/>
      <c r="P133" s="109"/>
      <c r="Q133" s="96"/>
    </row>
    <row r="134" spans="1:17" ht="15" customHeight="1" x14ac:dyDescent="0.45">
      <c r="A134" s="109"/>
      <c r="B134" s="90"/>
      <c r="C134" s="90"/>
      <c r="D134" s="90"/>
      <c r="E134" s="95"/>
      <c r="F134" s="90"/>
      <c r="G134" s="90"/>
      <c r="H134" s="90"/>
      <c r="I134" s="109"/>
      <c r="J134" s="109"/>
      <c r="K134" s="109"/>
      <c r="L134" s="90"/>
      <c r="M134" s="90"/>
      <c r="N134" s="90"/>
      <c r="O134" s="109"/>
      <c r="P134" s="109"/>
      <c r="Q134" s="96"/>
    </row>
    <row r="135" spans="1:17" ht="15" customHeight="1" x14ac:dyDescent="0.45">
      <c r="A135" s="109"/>
      <c r="B135" s="90"/>
      <c r="C135" s="90"/>
      <c r="D135" s="90"/>
      <c r="E135" s="95"/>
      <c r="F135" s="90"/>
      <c r="G135" s="90"/>
      <c r="H135" s="90"/>
      <c r="I135" s="109"/>
      <c r="J135" s="109"/>
      <c r="K135" s="109"/>
      <c r="L135" s="90"/>
      <c r="M135" s="90"/>
      <c r="N135" s="90"/>
      <c r="O135" s="109"/>
      <c r="P135" s="109"/>
      <c r="Q135" s="96"/>
    </row>
    <row r="136" spans="1:17" ht="15" customHeight="1" x14ac:dyDescent="0.45">
      <c r="A136" s="109"/>
      <c r="B136" s="90"/>
      <c r="C136" s="90"/>
      <c r="D136" s="90"/>
      <c r="E136" s="95"/>
      <c r="F136" s="90"/>
      <c r="G136" s="90"/>
      <c r="H136" s="90"/>
      <c r="I136" s="109"/>
      <c r="J136" s="109"/>
      <c r="K136" s="109"/>
      <c r="L136" s="90"/>
      <c r="M136" s="90"/>
      <c r="N136" s="90"/>
      <c r="O136" s="109"/>
      <c r="P136" s="109"/>
      <c r="Q136" s="96"/>
    </row>
    <row r="137" spans="1:17" ht="15" customHeight="1" x14ac:dyDescent="0.45">
      <c r="A137" s="109"/>
      <c r="B137" s="90"/>
      <c r="C137" s="90"/>
      <c r="D137" s="90"/>
      <c r="E137" s="95"/>
      <c r="F137" s="90"/>
      <c r="G137" s="90"/>
      <c r="H137" s="90"/>
      <c r="I137" s="109"/>
      <c r="J137" s="109"/>
      <c r="K137" s="109"/>
      <c r="L137" s="90"/>
      <c r="M137" s="90"/>
      <c r="N137" s="90"/>
      <c r="O137" s="109"/>
      <c r="P137" s="109"/>
      <c r="Q137" s="96"/>
    </row>
    <row r="138" spans="1:17" ht="15" customHeight="1" x14ac:dyDescent="0.45">
      <c r="A138" s="109"/>
      <c r="B138" s="90"/>
      <c r="C138" s="90"/>
      <c r="D138" s="90"/>
      <c r="E138" s="95"/>
      <c r="F138" s="90"/>
      <c r="G138" s="90"/>
      <c r="H138" s="90"/>
      <c r="I138" s="109"/>
      <c r="J138" s="109"/>
      <c r="K138" s="109"/>
      <c r="L138" s="90"/>
      <c r="M138" s="90"/>
      <c r="N138" s="90"/>
      <c r="O138" s="109"/>
      <c r="P138" s="109"/>
      <c r="Q138" s="96"/>
    </row>
    <row r="139" spans="1:17" ht="15" customHeight="1" x14ac:dyDescent="0.45">
      <c r="A139" s="109"/>
      <c r="B139" s="90"/>
      <c r="C139" s="90"/>
      <c r="D139" s="90"/>
      <c r="E139" s="95"/>
      <c r="F139" s="90"/>
      <c r="G139" s="90"/>
      <c r="H139" s="90"/>
      <c r="I139" s="109"/>
      <c r="J139" s="109"/>
      <c r="K139" s="109"/>
      <c r="L139" s="90"/>
      <c r="M139" s="90"/>
      <c r="N139" s="90"/>
      <c r="O139" s="109"/>
      <c r="P139" s="109"/>
      <c r="Q139" s="96"/>
    </row>
    <row r="140" spans="1:17" ht="15" customHeight="1" x14ac:dyDescent="0.45">
      <c r="A140" s="109"/>
      <c r="B140" s="90"/>
      <c r="C140" s="90"/>
      <c r="D140" s="90"/>
      <c r="E140" s="95"/>
      <c r="F140" s="90"/>
      <c r="G140" s="90"/>
      <c r="H140" s="90"/>
      <c r="I140" s="109"/>
      <c r="J140" s="109"/>
      <c r="K140" s="109"/>
      <c r="L140" s="90"/>
      <c r="M140" s="90"/>
      <c r="N140" s="90"/>
      <c r="O140" s="109"/>
      <c r="P140" s="109"/>
      <c r="Q140" s="96"/>
    </row>
    <row r="141" spans="1:17" ht="15" customHeight="1" x14ac:dyDescent="0.45">
      <c r="A141" s="109"/>
      <c r="B141" s="90"/>
      <c r="C141" s="90"/>
      <c r="D141" s="90"/>
      <c r="E141" s="95"/>
      <c r="F141" s="90"/>
      <c r="G141" s="90"/>
      <c r="H141" s="90"/>
      <c r="I141" s="109"/>
      <c r="J141" s="109"/>
      <c r="K141" s="109"/>
      <c r="L141" s="90"/>
      <c r="M141" s="90"/>
      <c r="N141" s="90"/>
      <c r="O141" s="109"/>
      <c r="P141" s="109"/>
      <c r="Q141" s="96"/>
    </row>
    <row r="142" spans="1:17" ht="15" customHeight="1" x14ac:dyDescent="0.45">
      <c r="A142" s="109"/>
      <c r="B142" s="90"/>
      <c r="C142" s="90"/>
      <c r="D142" s="90"/>
      <c r="E142" s="95"/>
      <c r="F142" s="90"/>
      <c r="G142" s="90"/>
      <c r="H142" s="90"/>
      <c r="I142" s="109"/>
      <c r="J142" s="109"/>
      <c r="K142" s="109"/>
      <c r="L142" s="90"/>
      <c r="M142" s="90"/>
      <c r="N142" s="90"/>
      <c r="O142" s="109"/>
      <c r="P142" s="109"/>
      <c r="Q142" s="96"/>
    </row>
    <row r="143" spans="1:17" ht="15" customHeight="1" x14ac:dyDescent="0.45">
      <c r="A143" s="109"/>
      <c r="B143" s="90"/>
      <c r="C143" s="90"/>
      <c r="D143" s="90"/>
      <c r="E143" s="95"/>
      <c r="F143" s="90"/>
      <c r="G143" s="90"/>
      <c r="H143" s="90"/>
      <c r="I143" s="109"/>
      <c r="J143" s="109"/>
      <c r="K143" s="109"/>
      <c r="L143" s="90"/>
      <c r="M143" s="90"/>
      <c r="N143" s="90"/>
      <c r="O143" s="109"/>
      <c r="P143" s="109"/>
      <c r="Q143" s="96"/>
    </row>
    <row r="144" spans="1:17" ht="15" customHeight="1" x14ac:dyDescent="0.45">
      <c r="A144" s="109"/>
      <c r="B144" s="90"/>
      <c r="C144" s="90"/>
      <c r="D144" s="90"/>
      <c r="E144" s="95"/>
      <c r="F144" s="90"/>
      <c r="G144" s="90"/>
      <c r="H144" s="90"/>
      <c r="I144" s="109"/>
      <c r="J144" s="109"/>
      <c r="K144" s="109"/>
      <c r="L144" s="90"/>
      <c r="M144" s="90"/>
      <c r="N144" s="90"/>
      <c r="O144" s="109"/>
      <c r="P144" s="109"/>
      <c r="Q144" s="96"/>
    </row>
    <row r="145" spans="1:17" ht="15" customHeight="1" x14ac:dyDescent="0.45">
      <c r="A145" s="109"/>
      <c r="B145" s="90"/>
      <c r="C145" s="90"/>
      <c r="D145" s="90"/>
      <c r="E145" s="95"/>
      <c r="F145" s="90"/>
      <c r="G145" s="90"/>
      <c r="H145" s="90"/>
      <c r="I145" s="109"/>
      <c r="J145" s="109"/>
      <c r="K145" s="109"/>
      <c r="L145" s="90"/>
      <c r="M145" s="90"/>
      <c r="N145" s="90"/>
      <c r="O145" s="109"/>
      <c r="P145" s="109"/>
      <c r="Q145" s="96"/>
    </row>
    <row r="146" spans="1:17" ht="15" customHeight="1" x14ac:dyDescent="0.45">
      <c r="A146" s="109"/>
      <c r="B146" s="90"/>
      <c r="C146" s="90"/>
      <c r="D146" s="90"/>
      <c r="E146" s="95"/>
      <c r="F146" s="90"/>
      <c r="G146" s="90"/>
      <c r="H146" s="90"/>
      <c r="I146" s="109"/>
      <c r="J146" s="109"/>
      <c r="K146" s="109"/>
      <c r="L146" s="90"/>
      <c r="M146" s="90"/>
      <c r="N146" s="90"/>
      <c r="O146" s="109"/>
      <c r="P146" s="109"/>
      <c r="Q146" s="96"/>
    </row>
    <row r="147" spans="1:17" ht="15" customHeight="1" x14ac:dyDescent="0.45">
      <c r="A147" s="109"/>
      <c r="B147" s="90"/>
      <c r="C147" s="90"/>
      <c r="D147" s="90"/>
      <c r="E147" s="95"/>
      <c r="F147" s="90"/>
      <c r="G147" s="90"/>
      <c r="H147" s="90"/>
      <c r="I147" s="109"/>
      <c r="J147" s="109"/>
      <c r="K147" s="109"/>
      <c r="L147" s="90"/>
      <c r="M147" s="90"/>
      <c r="N147" s="90"/>
      <c r="O147" s="109"/>
      <c r="P147" s="109"/>
      <c r="Q147" s="96"/>
    </row>
    <row r="148" spans="1:17" ht="15" customHeight="1" x14ac:dyDescent="0.45">
      <c r="A148" s="109"/>
      <c r="B148" s="90"/>
      <c r="C148" s="90"/>
      <c r="D148" s="90"/>
      <c r="E148" s="95"/>
      <c r="F148" s="90"/>
      <c r="G148" s="90"/>
      <c r="H148" s="90"/>
      <c r="I148" s="109"/>
      <c r="J148" s="109"/>
      <c r="K148" s="109"/>
      <c r="L148" s="90"/>
      <c r="M148" s="90"/>
      <c r="N148" s="90"/>
      <c r="O148" s="109"/>
      <c r="P148" s="109"/>
      <c r="Q148" s="96"/>
    </row>
    <row r="149" spans="1:17" ht="15" customHeight="1" x14ac:dyDescent="0.45">
      <c r="A149" s="109"/>
      <c r="B149" s="90"/>
      <c r="C149" s="90"/>
      <c r="D149" s="90"/>
      <c r="E149" s="95"/>
      <c r="F149" s="90"/>
      <c r="G149" s="90"/>
      <c r="H149" s="90"/>
      <c r="I149" s="109"/>
      <c r="J149" s="109"/>
      <c r="K149" s="109"/>
      <c r="L149" s="90"/>
      <c r="M149" s="90"/>
      <c r="N149" s="90"/>
      <c r="O149" s="109"/>
      <c r="P149" s="109"/>
      <c r="Q149" s="96"/>
    </row>
    <row r="150" spans="1:17" ht="15" customHeight="1" x14ac:dyDescent="0.45">
      <c r="A150" s="109"/>
      <c r="B150" s="90"/>
      <c r="C150" s="90"/>
      <c r="D150" s="90"/>
      <c r="E150" s="95"/>
      <c r="F150" s="90"/>
      <c r="G150" s="90"/>
      <c r="H150" s="90"/>
      <c r="I150" s="109"/>
      <c r="J150" s="109"/>
      <c r="K150" s="109"/>
      <c r="L150" s="90"/>
      <c r="M150" s="90"/>
      <c r="N150" s="90"/>
      <c r="O150" s="109"/>
      <c r="P150" s="109"/>
      <c r="Q150" s="96"/>
    </row>
    <row r="151" spans="1:17" ht="15" customHeight="1" x14ac:dyDescent="0.45">
      <c r="A151" s="109"/>
      <c r="B151" s="90"/>
      <c r="C151" s="90"/>
      <c r="D151" s="90"/>
      <c r="E151" s="95"/>
      <c r="F151" s="90"/>
      <c r="G151" s="90"/>
      <c r="H151" s="90"/>
      <c r="I151" s="109"/>
      <c r="J151" s="109"/>
      <c r="K151" s="109"/>
      <c r="L151" s="90"/>
      <c r="M151" s="90"/>
      <c r="N151" s="90"/>
      <c r="O151" s="109"/>
      <c r="P151" s="109"/>
      <c r="Q151" s="96"/>
    </row>
    <row r="152" spans="1:17" ht="15" customHeight="1" x14ac:dyDescent="0.45">
      <c r="A152" s="109"/>
      <c r="B152" s="90"/>
      <c r="C152" s="90"/>
      <c r="D152" s="90"/>
      <c r="E152" s="95"/>
      <c r="F152" s="90"/>
      <c r="G152" s="90"/>
      <c r="H152" s="90"/>
      <c r="I152" s="109"/>
      <c r="J152" s="109"/>
      <c r="K152" s="109"/>
      <c r="L152" s="90"/>
      <c r="M152" s="90"/>
      <c r="N152" s="90"/>
      <c r="O152" s="109"/>
      <c r="P152" s="109"/>
      <c r="Q152" s="96"/>
    </row>
    <row r="153" spans="1:17" ht="15" customHeight="1" x14ac:dyDescent="0.45">
      <c r="A153" s="109"/>
      <c r="B153" s="90"/>
      <c r="C153" s="90"/>
      <c r="D153" s="90"/>
      <c r="E153" s="95"/>
      <c r="F153" s="90"/>
      <c r="G153" s="90"/>
      <c r="H153" s="90"/>
      <c r="I153" s="109"/>
      <c r="J153" s="109"/>
      <c r="K153" s="109"/>
      <c r="L153" s="90"/>
      <c r="M153" s="90"/>
      <c r="N153" s="90"/>
      <c r="O153" s="109"/>
      <c r="P153" s="109"/>
      <c r="Q153" s="96"/>
    </row>
    <row r="154" spans="1:17" ht="15" customHeight="1" x14ac:dyDescent="0.45">
      <c r="A154" s="109"/>
      <c r="B154" s="90"/>
      <c r="C154" s="90"/>
      <c r="D154" s="90"/>
      <c r="E154" s="95"/>
      <c r="F154" s="90"/>
      <c r="G154" s="90"/>
      <c r="H154" s="90"/>
      <c r="I154" s="109"/>
      <c r="J154" s="109"/>
      <c r="K154" s="109"/>
      <c r="L154" s="90"/>
      <c r="M154" s="90"/>
      <c r="N154" s="90"/>
      <c r="O154" s="109"/>
      <c r="P154" s="109"/>
      <c r="Q154" s="96"/>
    </row>
    <row r="155" spans="1:17" ht="15" customHeight="1" x14ac:dyDescent="0.45">
      <c r="A155" s="109"/>
      <c r="B155" s="90"/>
      <c r="C155" s="90"/>
      <c r="D155" s="90"/>
      <c r="E155" s="95"/>
      <c r="F155" s="90"/>
      <c r="G155" s="90"/>
      <c r="H155" s="90"/>
      <c r="I155" s="109"/>
      <c r="J155" s="109"/>
      <c r="K155" s="109"/>
      <c r="L155" s="90"/>
      <c r="M155" s="90"/>
      <c r="N155" s="90"/>
      <c r="O155" s="109"/>
      <c r="P155" s="109"/>
      <c r="Q155" s="96"/>
    </row>
    <row r="156" spans="1:17" ht="15" customHeight="1" x14ac:dyDescent="0.45">
      <c r="A156" s="109"/>
      <c r="B156" s="90"/>
      <c r="C156" s="90"/>
      <c r="D156" s="90"/>
      <c r="E156" s="95"/>
      <c r="F156" s="90"/>
      <c r="G156" s="90"/>
      <c r="H156" s="90"/>
      <c r="I156" s="109"/>
      <c r="J156" s="109"/>
      <c r="K156" s="109"/>
      <c r="L156" s="90"/>
      <c r="M156" s="90"/>
      <c r="N156" s="90"/>
      <c r="O156" s="109"/>
      <c r="P156" s="109"/>
      <c r="Q156" s="96"/>
    </row>
    <row r="157" spans="1:17" ht="15" customHeight="1" x14ac:dyDescent="0.45">
      <c r="A157" s="109"/>
      <c r="B157" s="90"/>
      <c r="C157" s="90"/>
      <c r="D157" s="90"/>
      <c r="E157" s="95"/>
      <c r="F157" s="90"/>
      <c r="G157" s="90"/>
      <c r="H157" s="90"/>
      <c r="I157" s="109"/>
      <c r="J157" s="109"/>
      <c r="K157" s="109"/>
      <c r="L157" s="90"/>
      <c r="M157" s="90"/>
      <c r="N157" s="90"/>
      <c r="O157" s="109"/>
      <c r="P157" s="109"/>
      <c r="Q157" s="96"/>
    </row>
    <row r="158" spans="1:17" ht="15" customHeight="1" x14ac:dyDescent="0.45">
      <c r="A158" s="109"/>
      <c r="B158" s="90"/>
      <c r="C158" s="90"/>
      <c r="D158" s="90"/>
      <c r="E158" s="95"/>
      <c r="F158" s="90"/>
      <c r="G158" s="90"/>
      <c r="H158" s="90"/>
      <c r="I158" s="109"/>
      <c r="J158" s="109"/>
      <c r="K158" s="109"/>
      <c r="L158" s="90"/>
      <c r="M158" s="90"/>
      <c r="N158" s="90"/>
      <c r="O158" s="109"/>
      <c r="P158" s="109"/>
      <c r="Q158" s="96"/>
    </row>
    <row r="159" spans="1:17" ht="15" customHeight="1" x14ac:dyDescent="0.45">
      <c r="A159" s="109"/>
      <c r="B159" s="90"/>
      <c r="C159" s="90"/>
      <c r="D159" s="90"/>
      <c r="E159" s="95"/>
      <c r="F159" s="90"/>
      <c r="G159" s="90"/>
      <c r="H159" s="90"/>
      <c r="I159" s="109"/>
      <c r="J159" s="109"/>
      <c r="K159" s="109"/>
      <c r="L159" s="90"/>
      <c r="M159" s="90"/>
      <c r="N159" s="90"/>
      <c r="O159" s="109"/>
      <c r="P159" s="109"/>
      <c r="Q159" s="96"/>
    </row>
    <row r="160" spans="1:17" ht="15" customHeight="1" x14ac:dyDescent="0.45">
      <c r="A160" s="109"/>
      <c r="B160" s="90"/>
      <c r="C160" s="90"/>
      <c r="D160" s="90"/>
      <c r="E160" s="95"/>
      <c r="F160" s="90"/>
      <c r="G160" s="90"/>
      <c r="H160" s="90"/>
      <c r="I160" s="109"/>
      <c r="J160" s="109"/>
      <c r="K160" s="109"/>
      <c r="L160" s="90"/>
      <c r="M160" s="90"/>
      <c r="N160" s="90"/>
      <c r="O160" s="109"/>
      <c r="P160" s="109"/>
      <c r="Q160" s="96"/>
    </row>
    <row r="161" spans="1:17" ht="15" customHeight="1" x14ac:dyDescent="0.45">
      <c r="A161" s="109"/>
      <c r="B161" s="90"/>
      <c r="C161" s="90"/>
      <c r="D161" s="90"/>
      <c r="E161" s="95"/>
      <c r="F161" s="90"/>
      <c r="G161" s="90"/>
      <c r="H161" s="90"/>
      <c r="I161" s="109"/>
      <c r="J161" s="109"/>
      <c r="K161" s="109"/>
      <c r="L161" s="90"/>
      <c r="M161" s="90"/>
      <c r="N161" s="90"/>
      <c r="O161" s="109"/>
      <c r="P161" s="109"/>
      <c r="Q161" s="96"/>
    </row>
    <row r="162" spans="1:17" ht="15" customHeight="1" x14ac:dyDescent="0.45">
      <c r="A162" s="109"/>
      <c r="B162" s="90"/>
      <c r="C162" s="90"/>
      <c r="D162" s="90"/>
      <c r="E162" s="95"/>
      <c r="F162" s="90"/>
      <c r="G162" s="90"/>
      <c r="H162" s="90"/>
      <c r="I162" s="109"/>
      <c r="J162" s="109"/>
      <c r="K162" s="109"/>
      <c r="L162" s="90"/>
      <c r="M162" s="90"/>
      <c r="N162" s="90"/>
      <c r="O162" s="109"/>
      <c r="P162" s="109"/>
      <c r="Q162" s="96"/>
    </row>
    <row r="163" spans="1:17" ht="15" customHeight="1" x14ac:dyDescent="0.45">
      <c r="A163" s="109"/>
      <c r="B163" s="90"/>
      <c r="C163" s="90"/>
      <c r="D163" s="90"/>
      <c r="E163" s="95"/>
      <c r="F163" s="90"/>
      <c r="G163" s="90"/>
      <c r="H163" s="90"/>
      <c r="I163" s="109"/>
      <c r="J163" s="109"/>
      <c r="K163" s="109"/>
      <c r="L163" s="90"/>
      <c r="M163" s="90"/>
      <c r="N163" s="90"/>
      <c r="O163" s="109"/>
      <c r="P163" s="109"/>
      <c r="Q163" s="96"/>
    </row>
    <row r="164" spans="1:17" ht="15" customHeight="1" x14ac:dyDescent="0.45">
      <c r="A164" s="109"/>
      <c r="B164" s="90"/>
      <c r="C164" s="90"/>
      <c r="D164" s="90"/>
      <c r="E164" s="95"/>
      <c r="F164" s="90"/>
      <c r="G164" s="90"/>
      <c r="H164" s="90"/>
      <c r="I164" s="109"/>
      <c r="J164" s="109"/>
      <c r="K164" s="109"/>
      <c r="L164" s="90"/>
      <c r="M164" s="90"/>
      <c r="N164" s="90"/>
      <c r="O164" s="109"/>
      <c r="P164" s="109"/>
      <c r="Q164" s="96"/>
    </row>
    <row r="165" spans="1:17" ht="15" customHeight="1" x14ac:dyDescent="0.45">
      <c r="A165" s="109"/>
      <c r="B165" s="90"/>
      <c r="C165" s="90"/>
      <c r="D165" s="90"/>
      <c r="E165" s="95"/>
      <c r="F165" s="90"/>
      <c r="G165" s="90"/>
      <c r="H165" s="90"/>
      <c r="I165" s="109"/>
      <c r="J165" s="109"/>
      <c r="K165" s="109"/>
      <c r="L165" s="90"/>
      <c r="M165" s="90"/>
      <c r="N165" s="90"/>
      <c r="O165" s="109"/>
      <c r="P165" s="109"/>
      <c r="Q165" s="96"/>
    </row>
    <row r="166" spans="1:17" ht="15" customHeight="1" x14ac:dyDescent="0.45">
      <c r="A166" s="109"/>
      <c r="B166" s="90"/>
      <c r="C166" s="90"/>
      <c r="D166" s="90"/>
      <c r="E166" s="95"/>
      <c r="F166" s="90"/>
      <c r="G166" s="90"/>
      <c r="H166" s="90"/>
      <c r="I166" s="109"/>
      <c r="J166" s="109"/>
      <c r="K166" s="109"/>
      <c r="L166" s="90"/>
      <c r="M166" s="90"/>
      <c r="N166" s="90"/>
      <c r="O166" s="109"/>
      <c r="P166" s="109"/>
      <c r="Q166" s="96"/>
    </row>
    <row r="167" spans="1:17" ht="15" customHeight="1" x14ac:dyDescent="0.45">
      <c r="A167" s="109"/>
      <c r="B167" s="90"/>
      <c r="C167" s="90"/>
      <c r="D167" s="90"/>
      <c r="E167" s="95"/>
      <c r="F167" s="90"/>
      <c r="G167" s="90"/>
      <c r="H167" s="90"/>
      <c r="I167" s="109"/>
      <c r="J167" s="109"/>
      <c r="K167" s="109"/>
      <c r="L167" s="90"/>
      <c r="M167" s="90"/>
      <c r="N167" s="90"/>
      <c r="O167" s="109"/>
      <c r="P167" s="109"/>
      <c r="Q167" s="96"/>
    </row>
    <row r="168" spans="1:17" ht="15" customHeight="1" x14ac:dyDescent="0.45">
      <c r="A168" s="109"/>
      <c r="B168" s="90"/>
      <c r="C168" s="90"/>
      <c r="D168" s="90"/>
      <c r="E168" s="95"/>
      <c r="F168" s="90"/>
      <c r="G168" s="90"/>
      <c r="H168" s="90"/>
      <c r="I168" s="109"/>
      <c r="J168" s="109"/>
      <c r="K168" s="109"/>
      <c r="L168" s="90"/>
      <c r="M168" s="90"/>
      <c r="N168" s="90"/>
      <c r="O168" s="109"/>
      <c r="P168" s="109"/>
      <c r="Q168" s="96"/>
    </row>
    <row r="169" spans="1:17" ht="15" customHeight="1" x14ac:dyDescent="0.45">
      <c r="A169" s="109"/>
      <c r="B169" s="90"/>
      <c r="C169" s="90"/>
      <c r="D169" s="90"/>
      <c r="E169" s="95"/>
      <c r="F169" s="90"/>
      <c r="G169" s="90"/>
      <c r="H169" s="90"/>
      <c r="I169" s="109"/>
      <c r="J169" s="109"/>
      <c r="K169" s="109"/>
      <c r="L169" s="90"/>
      <c r="M169" s="90"/>
      <c r="N169" s="90"/>
      <c r="O169" s="109"/>
      <c r="P169" s="109"/>
      <c r="Q169" s="96"/>
    </row>
    <row r="170" spans="1:17" ht="15" customHeight="1" x14ac:dyDescent="0.45">
      <c r="A170" s="109"/>
      <c r="B170" s="90"/>
      <c r="C170" s="90"/>
      <c r="D170" s="90"/>
      <c r="E170" s="95"/>
      <c r="F170" s="90"/>
      <c r="G170" s="90"/>
      <c r="H170" s="90"/>
      <c r="I170" s="109"/>
      <c r="J170" s="109"/>
      <c r="K170" s="109"/>
      <c r="L170" s="90"/>
      <c r="M170" s="90"/>
      <c r="N170" s="90"/>
      <c r="O170" s="109"/>
      <c r="P170" s="109"/>
      <c r="Q170" s="96"/>
    </row>
    <row r="171" spans="1:17" ht="15" customHeight="1" x14ac:dyDescent="0.45">
      <c r="A171" s="109"/>
      <c r="B171" s="90"/>
      <c r="C171" s="90"/>
      <c r="D171" s="90"/>
      <c r="E171" s="95"/>
      <c r="F171" s="90"/>
      <c r="G171" s="90"/>
      <c r="H171" s="90"/>
      <c r="I171" s="109"/>
      <c r="J171" s="109"/>
      <c r="K171" s="109"/>
      <c r="L171" s="90"/>
      <c r="M171" s="90"/>
      <c r="N171" s="90"/>
      <c r="O171" s="109"/>
      <c r="P171" s="109"/>
      <c r="Q171" s="96"/>
    </row>
    <row r="172" spans="1:17" ht="15" customHeight="1" x14ac:dyDescent="0.45">
      <c r="A172" s="109"/>
      <c r="B172" s="90"/>
      <c r="C172" s="90"/>
      <c r="D172" s="90"/>
      <c r="E172" s="95"/>
      <c r="F172" s="90"/>
      <c r="G172" s="90"/>
      <c r="H172" s="90"/>
      <c r="I172" s="109"/>
      <c r="J172" s="109"/>
      <c r="K172" s="109"/>
      <c r="L172" s="90"/>
      <c r="M172" s="90"/>
      <c r="N172" s="90"/>
      <c r="O172" s="109"/>
      <c r="P172" s="109"/>
      <c r="Q172" s="96"/>
    </row>
    <row r="173" spans="1:17" ht="15" customHeight="1" x14ac:dyDescent="0.45">
      <c r="A173" s="109"/>
      <c r="B173" s="90"/>
      <c r="C173" s="90"/>
      <c r="D173" s="90"/>
      <c r="E173" s="95"/>
      <c r="F173" s="90"/>
      <c r="G173" s="90"/>
      <c r="H173" s="90"/>
      <c r="I173" s="109"/>
      <c r="J173" s="109"/>
      <c r="K173" s="109"/>
      <c r="L173" s="90"/>
      <c r="M173" s="90"/>
      <c r="N173" s="90"/>
      <c r="O173" s="109"/>
      <c r="P173" s="109"/>
      <c r="Q173" s="96"/>
    </row>
    <row r="174" spans="1:17" ht="15" customHeight="1" x14ac:dyDescent="0.45">
      <c r="A174" s="109"/>
      <c r="B174" s="90"/>
      <c r="C174" s="90"/>
      <c r="D174" s="90"/>
      <c r="E174" s="95"/>
      <c r="F174" s="90"/>
      <c r="G174" s="90"/>
      <c r="H174" s="90"/>
      <c r="I174" s="109"/>
      <c r="J174" s="109"/>
      <c r="K174" s="109"/>
      <c r="L174" s="90"/>
      <c r="M174" s="90"/>
      <c r="N174" s="90"/>
      <c r="O174" s="109"/>
      <c r="P174" s="109"/>
      <c r="Q174" s="96"/>
    </row>
    <row r="175" spans="1:17" ht="15" customHeight="1" x14ac:dyDescent="0.45">
      <c r="A175" s="109"/>
      <c r="B175" s="90"/>
      <c r="C175" s="90"/>
      <c r="D175" s="90"/>
      <c r="E175" s="95"/>
      <c r="F175" s="90"/>
      <c r="G175" s="90"/>
      <c r="H175" s="90"/>
      <c r="I175" s="109"/>
      <c r="J175" s="109"/>
      <c r="K175" s="109"/>
      <c r="L175" s="90"/>
      <c r="M175" s="90"/>
      <c r="N175" s="90"/>
      <c r="O175" s="109"/>
      <c r="P175" s="109"/>
      <c r="Q175" s="96"/>
    </row>
    <row r="176" spans="1:17" ht="15" customHeight="1" x14ac:dyDescent="0.45">
      <c r="A176" s="109"/>
      <c r="B176" s="90"/>
      <c r="C176" s="90"/>
      <c r="D176" s="90"/>
      <c r="E176" s="95"/>
      <c r="F176" s="90"/>
      <c r="G176" s="90"/>
      <c r="H176" s="90"/>
      <c r="I176" s="109"/>
      <c r="J176" s="109"/>
      <c r="K176" s="109"/>
      <c r="L176" s="90"/>
      <c r="M176" s="90"/>
      <c r="N176" s="90"/>
      <c r="O176" s="109"/>
      <c r="P176" s="109"/>
      <c r="Q176" s="96"/>
    </row>
    <row r="177" spans="1:17" ht="15" customHeight="1" x14ac:dyDescent="0.45">
      <c r="A177" s="109"/>
      <c r="B177" s="90"/>
      <c r="C177" s="90"/>
      <c r="D177" s="90"/>
      <c r="E177" s="95"/>
      <c r="F177" s="90"/>
      <c r="G177" s="90"/>
      <c r="H177" s="90"/>
      <c r="I177" s="109"/>
      <c r="J177" s="109"/>
      <c r="K177" s="109"/>
      <c r="L177" s="90"/>
      <c r="M177" s="90"/>
      <c r="N177" s="90"/>
      <c r="O177" s="109"/>
      <c r="P177" s="109"/>
      <c r="Q177" s="96"/>
    </row>
    <row r="178" spans="1:17" ht="15" customHeight="1" x14ac:dyDescent="0.45">
      <c r="A178" s="109"/>
      <c r="B178" s="90"/>
      <c r="C178" s="90"/>
      <c r="D178" s="90"/>
      <c r="E178" s="95"/>
      <c r="F178" s="90"/>
      <c r="G178" s="90"/>
      <c r="H178" s="90"/>
      <c r="I178" s="109"/>
      <c r="J178" s="109"/>
      <c r="K178" s="109"/>
      <c r="L178" s="90"/>
      <c r="M178" s="90"/>
      <c r="N178" s="90"/>
      <c r="O178" s="109"/>
      <c r="P178" s="109"/>
      <c r="Q178" s="96"/>
    </row>
    <row r="179" spans="1:17" ht="15" customHeight="1" x14ac:dyDescent="0.45">
      <c r="A179" s="109"/>
      <c r="B179" s="90"/>
      <c r="C179" s="90"/>
      <c r="D179" s="90"/>
      <c r="E179" s="95"/>
      <c r="F179" s="90"/>
      <c r="G179" s="90"/>
      <c r="H179" s="90"/>
      <c r="I179" s="109"/>
      <c r="J179" s="109"/>
      <c r="K179" s="109"/>
      <c r="L179" s="90"/>
      <c r="M179" s="90"/>
      <c r="N179" s="90"/>
      <c r="O179" s="109"/>
      <c r="P179" s="109"/>
      <c r="Q179" s="96"/>
    </row>
    <row r="180" spans="1:17" ht="15" customHeight="1" x14ac:dyDescent="0.45">
      <c r="A180" s="109"/>
      <c r="B180" s="90"/>
      <c r="C180" s="90"/>
      <c r="D180" s="90"/>
      <c r="E180" s="95"/>
      <c r="F180" s="90"/>
      <c r="G180" s="90"/>
      <c r="H180" s="90"/>
      <c r="I180" s="109"/>
      <c r="J180" s="109"/>
      <c r="K180" s="109"/>
      <c r="L180" s="90"/>
      <c r="M180" s="90"/>
      <c r="N180" s="90"/>
      <c r="O180" s="109"/>
      <c r="P180" s="109"/>
      <c r="Q180" s="96"/>
    </row>
    <row r="181" spans="1:17" ht="15" customHeight="1" x14ac:dyDescent="0.45">
      <c r="A181" s="109"/>
      <c r="B181" s="90"/>
      <c r="C181" s="90"/>
      <c r="D181" s="90"/>
      <c r="E181" s="95"/>
      <c r="F181" s="90"/>
      <c r="G181" s="90"/>
      <c r="H181" s="90"/>
      <c r="I181" s="109"/>
      <c r="J181" s="109"/>
      <c r="K181" s="109"/>
      <c r="L181" s="90"/>
      <c r="M181" s="90"/>
      <c r="N181" s="90"/>
      <c r="O181" s="109"/>
      <c r="P181" s="109"/>
      <c r="Q181" s="96"/>
    </row>
    <row r="182" spans="1:17" ht="15" customHeight="1" x14ac:dyDescent="0.45">
      <c r="A182" s="109"/>
      <c r="B182" s="90"/>
      <c r="C182" s="90"/>
      <c r="D182" s="90"/>
      <c r="E182" s="95"/>
      <c r="F182" s="90"/>
      <c r="G182" s="90"/>
      <c r="H182" s="90"/>
      <c r="I182" s="109"/>
      <c r="J182" s="109"/>
      <c r="K182" s="109"/>
      <c r="L182" s="90"/>
      <c r="M182" s="90"/>
      <c r="N182" s="90"/>
      <c r="O182" s="109"/>
      <c r="P182" s="109"/>
      <c r="Q182" s="96"/>
    </row>
    <row r="183" spans="1:17" ht="15" customHeight="1" x14ac:dyDescent="0.45">
      <c r="A183" s="109"/>
      <c r="B183" s="90"/>
      <c r="C183" s="90"/>
      <c r="D183" s="90"/>
      <c r="E183" s="95"/>
      <c r="F183" s="90"/>
      <c r="G183" s="90"/>
      <c r="H183" s="90"/>
      <c r="I183" s="109"/>
      <c r="J183" s="109"/>
      <c r="K183" s="109"/>
      <c r="L183" s="90"/>
      <c r="M183" s="90"/>
      <c r="N183" s="90"/>
      <c r="O183" s="109"/>
      <c r="P183" s="109"/>
      <c r="Q183" s="96"/>
    </row>
    <row r="184" spans="1:17" ht="15" customHeight="1" x14ac:dyDescent="0.45">
      <c r="A184" s="109"/>
      <c r="B184" s="90"/>
      <c r="C184" s="90"/>
      <c r="D184" s="90"/>
      <c r="E184" s="95"/>
      <c r="F184" s="90"/>
      <c r="G184" s="90"/>
      <c r="H184" s="90"/>
      <c r="I184" s="109"/>
      <c r="J184" s="109"/>
      <c r="K184" s="109"/>
      <c r="L184" s="90"/>
      <c r="M184" s="90"/>
      <c r="N184" s="90"/>
      <c r="O184" s="109"/>
      <c r="P184" s="109"/>
      <c r="Q184" s="96"/>
    </row>
    <row r="185" spans="1:17" ht="15" customHeight="1" x14ac:dyDescent="0.45">
      <c r="A185" s="109"/>
      <c r="B185" s="90"/>
      <c r="C185" s="90"/>
      <c r="D185" s="90"/>
      <c r="E185" s="95"/>
      <c r="F185" s="90"/>
      <c r="G185" s="90"/>
      <c r="H185" s="90"/>
      <c r="I185" s="109"/>
      <c r="J185" s="109"/>
      <c r="K185" s="109"/>
      <c r="L185" s="90"/>
      <c r="M185" s="90"/>
      <c r="N185" s="90"/>
      <c r="O185" s="109"/>
      <c r="P185" s="109"/>
      <c r="Q185" s="96"/>
    </row>
    <row r="186" spans="1:17" ht="15" customHeight="1" x14ac:dyDescent="0.45">
      <c r="A186" s="109"/>
      <c r="B186" s="90"/>
      <c r="C186" s="90"/>
      <c r="D186" s="90"/>
      <c r="E186" s="95"/>
      <c r="F186" s="90"/>
      <c r="G186" s="90"/>
      <c r="H186" s="90"/>
      <c r="I186" s="109"/>
      <c r="J186" s="109"/>
      <c r="K186" s="109"/>
      <c r="L186" s="90"/>
      <c r="M186" s="90"/>
      <c r="N186" s="90"/>
      <c r="O186" s="109"/>
      <c r="P186" s="109"/>
      <c r="Q186" s="96"/>
    </row>
    <row r="187" spans="1:17" ht="15" customHeight="1" x14ac:dyDescent="0.45">
      <c r="A187" s="109"/>
      <c r="B187" s="90"/>
      <c r="C187" s="90"/>
      <c r="D187" s="90"/>
      <c r="E187" s="95"/>
      <c r="F187" s="90"/>
      <c r="G187" s="90"/>
      <c r="H187" s="90"/>
      <c r="I187" s="109"/>
      <c r="J187" s="109"/>
      <c r="K187" s="109"/>
      <c r="L187" s="90"/>
      <c r="M187" s="90"/>
      <c r="N187" s="90"/>
      <c r="O187" s="109"/>
      <c r="P187" s="109"/>
      <c r="Q187" s="96"/>
    </row>
    <row r="188" spans="1:17" ht="15" customHeight="1" x14ac:dyDescent="0.45">
      <c r="A188" s="109"/>
      <c r="B188" s="90"/>
      <c r="C188" s="90"/>
      <c r="D188" s="90"/>
      <c r="E188" s="95"/>
      <c r="F188" s="90"/>
      <c r="G188" s="90"/>
      <c r="H188" s="90"/>
      <c r="I188" s="109"/>
      <c r="J188" s="109"/>
      <c r="K188" s="109"/>
      <c r="L188" s="90"/>
      <c r="M188" s="90"/>
      <c r="N188" s="90"/>
      <c r="O188" s="109"/>
      <c r="P188" s="109"/>
      <c r="Q188" s="96"/>
    </row>
    <row r="189" spans="1:17" ht="15" customHeight="1" x14ac:dyDescent="0.45">
      <c r="A189" s="109"/>
      <c r="B189" s="90"/>
      <c r="C189" s="90"/>
      <c r="D189" s="90"/>
      <c r="E189" s="95"/>
      <c r="F189" s="90"/>
      <c r="G189" s="90"/>
      <c r="H189" s="90"/>
      <c r="I189" s="109"/>
      <c r="J189" s="109"/>
      <c r="K189" s="109"/>
      <c r="L189" s="90"/>
      <c r="M189" s="90"/>
      <c r="N189" s="90"/>
      <c r="O189" s="109"/>
      <c r="P189" s="109"/>
      <c r="Q189" s="96"/>
    </row>
    <row r="190" spans="1:17" ht="15" customHeight="1" x14ac:dyDescent="0.45">
      <c r="A190" s="109"/>
      <c r="B190" s="90"/>
      <c r="C190" s="90"/>
      <c r="D190" s="90"/>
      <c r="E190" s="95"/>
      <c r="F190" s="90"/>
      <c r="G190" s="90"/>
      <c r="H190" s="90"/>
      <c r="I190" s="109"/>
      <c r="J190" s="109"/>
      <c r="K190" s="109"/>
      <c r="L190" s="90"/>
      <c r="M190" s="90"/>
      <c r="N190" s="90"/>
      <c r="O190" s="109"/>
      <c r="P190" s="109"/>
      <c r="Q190" s="96"/>
    </row>
    <row r="191" spans="1:17" ht="15" customHeight="1" x14ac:dyDescent="0.45">
      <c r="A191" s="109"/>
      <c r="B191" s="90"/>
      <c r="C191" s="90"/>
      <c r="D191" s="90"/>
      <c r="E191" s="95"/>
      <c r="F191" s="90"/>
      <c r="G191" s="90"/>
      <c r="H191" s="90"/>
      <c r="I191" s="109"/>
      <c r="J191" s="109"/>
      <c r="K191" s="109"/>
      <c r="L191" s="90"/>
      <c r="M191" s="90"/>
      <c r="N191" s="90"/>
      <c r="O191" s="109"/>
      <c r="P191" s="109"/>
      <c r="Q191" s="96"/>
    </row>
    <row r="192" spans="1:17" ht="15" customHeight="1" x14ac:dyDescent="0.45">
      <c r="A192" s="109"/>
      <c r="B192" s="90"/>
      <c r="C192" s="90"/>
      <c r="D192" s="90"/>
      <c r="E192" s="95"/>
      <c r="F192" s="90"/>
      <c r="G192" s="90"/>
      <c r="H192" s="90"/>
      <c r="I192" s="109"/>
      <c r="J192" s="109"/>
      <c r="K192" s="109"/>
      <c r="L192" s="90"/>
      <c r="M192" s="90"/>
      <c r="N192" s="90"/>
      <c r="O192" s="109"/>
      <c r="P192" s="109"/>
      <c r="Q192" s="96"/>
    </row>
    <row r="193" spans="1:17" ht="15" customHeight="1" x14ac:dyDescent="0.45">
      <c r="A193" s="109"/>
      <c r="B193" s="90"/>
      <c r="C193" s="90"/>
      <c r="D193" s="90"/>
      <c r="E193" s="95"/>
      <c r="F193" s="90"/>
      <c r="G193" s="90"/>
      <c r="H193" s="90"/>
      <c r="I193" s="109"/>
      <c r="J193" s="109"/>
      <c r="K193" s="109"/>
      <c r="L193" s="90"/>
      <c r="M193" s="90"/>
      <c r="N193" s="90"/>
      <c r="O193" s="109"/>
      <c r="P193" s="109"/>
      <c r="Q193" s="96"/>
    </row>
    <row r="194" spans="1:17" ht="15" customHeight="1" x14ac:dyDescent="0.45">
      <c r="A194" s="109"/>
      <c r="B194" s="90"/>
      <c r="C194" s="90"/>
      <c r="D194" s="90"/>
      <c r="E194" s="95"/>
      <c r="F194" s="90"/>
      <c r="G194" s="90"/>
      <c r="H194" s="90"/>
      <c r="I194" s="109"/>
      <c r="J194" s="109"/>
      <c r="K194" s="109"/>
      <c r="L194" s="90"/>
      <c r="M194" s="90"/>
      <c r="N194" s="90"/>
      <c r="O194" s="109"/>
      <c r="P194" s="109"/>
      <c r="Q194" s="96"/>
    </row>
    <row r="195" spans="1:17" ht="15" customHeight="1" x14ac:dyDescent="0.45">
      <c r="A195" s="109"/>
      <c r="B195" s="90"/>
      <c r="C195" s="90"/>
      <c r="D195" s="90"/>
      <c r="E195" s="95"/>
      <c r="F195" s="90"/>
      <c r="G195" s="90"/>
      <c r="H195" s="90"/>
      <c r="I195" s="109"/>
      <c r="J195" s="109"/>
      <c r="K195" s="109"/>
      <c r="L195" s="90"/>
      <c r="M195" s="90"/>
      <c r="N195" s="90"/>
      <c r="O195" s="109"/>
      <c r="P195" s="109"/>
      <c r="Q195" s="96"/>
    </row>
    <row r="196" spans="1:17" ht="15" customHeight="1" x14ac:dyDescent="0.45">
      <c r="A196" s="109"/>
      <c r="B196" s="90"/>
      <c r="C196" s="90"/>
      <c r="D196" s="90"/>
      <c r="E196" s="95"/>
      <c r="F196" s="90"/>
      <c r="G196" s="90"/>
      <c r="H196" s="90"/>
      <c r="I196" s="109"/>
      <c r="J196" s="109"/>
      <c r="K196" s="109"/>
      <c r="L196" s="90"/>
      <c r="M196" s="90"/>
      <c r="N196" s="90"/>
      <c r="O196" s="109"/>
      <c r="P196" s="109"/>
      <c r="Q196" s="96"/>
    </row>
    <row r="197" spans="1:17" ht="15" customHeight="1" x14ac:dyDescent="0.45">
      <c r="A197" s="109"/>
      <c r="B197" s="90"/>
      <c r="C197" s="90"/>
      <c r="D197" s="90"/>
      <c r="E197" s="95"/>
      <c r="F197" s="90"/>
      <c r="G197" s="90"/>
      <c r="H197" s="90"/>
      <c r="I197" s="109"/>
      <c r="J197" s="109"/>
      <c r="K197" s="109"/>
      <c r="L197" s="90"/>
      <c r="M197" s="90"/>
      <c r="N197" s="90"/>
      <c r="O197" s="109"/>
      <c r="P197" s="109"/>
      <c r="Q197" s="96"/>
    </row>
    <row r="198" spans="1:17" ht="15" customHeight="1" x14ac:dyDescent="0.45">
      <c r="A198" s="109"/>
      <c r="B198" s="90"/>
      <c r="C198" s="90"/>
      <c r="D198" s="90"/>
      <c r="E198" s="95"/>
      <c r="F198" s="90"/>
      <c r="G198" s="90"/>
      <c r="H198" s="90"/>
      <c r="I198" s="109"/>
      <c r="J198" s="109"/>
      <c r="K198" s="109"/>
      <c r="L198" s="90"/>
      <c r="M198" s="90"/>
      <c r="N198" s="90"/>
      <c r="O198" s="109"/>
      <c r="P198" s="109"/>
      <c r="Q198" s="96"/>
    </row>
    <row r="199" spans="1:17" ht="15" customHeight="1" x14ac:dyDescent="0.45">
      <c r="A199" s="109"/>
      <c r="B199" s="90"/>
      <c r="C199" s="90"/>
      <c r="D199" s="90"/>
      <c r="E199" s="95"/>
      <c r="F199" s="90"/>
      <c r="G199" s="90"/>
      <c r="H199" s="90"/>
      <c r="I199" s="109"/>
      <c r="J199" s="109"/>
      <c r="K199" s="109"/>
      <c r="L199" s="90"/>
      <c r="M199" s="90"/>
      <c r="N199" s="90"/>
      <c r="O199" s="109"/>
      <c r="P199" s="109"/>
      <c r="Q199" s="96"/>
    </row>
    <row r="200" spans="1:17" ht="15" customHeight="1" x14ac:dyDescent="0.45">
      <c r="A200" s="109"/>
      <c r="B200" s="90"/>
      <c r="C200" s="90"/>
      <c r="D200" s="90"/>
      <c r="E200" s="95"/>
      <c r="F200" s="90"/>
      <c r="G200" s="90"/>
      <c r="H200" s="90"/>
      <c r="I200" s="109"/>
      <c r="J200" s="109"/>
      <c r="K200" s="109"/>
      <c r="L200" s="90"/>
      <c r="M200" s="90"/>
      <c r="N200" s="90"/>
      <c r="O200" s="109"/>
      <c r="P200" s="109"/>
      <c r="Q200" s="96"/>
    </row>
    <row r="201" spans="1:17" ht="15" customHeight="1" x14ac:dyDescent="0.45">
      <c r="A201" s="109"/>
      <c r="B201" s="90"/>
      <c r="C201" s="90"/>
      <c r="D201" s="90"/>
      <c r="E201" s="95"/>
      <c r="F201" s="90"/>
      <c r="G201" s="90"/>
      <c r="H201" s="90"/>
      <c r="I201" s="109"/>
      <c r="J201" s="109"/>
      <c r="K201" s="109"/>
      <c r="L201" s="90"/>
      <c r="M201" s="90"/>
      <c r="N201" s="90"/>
      <c r="O201" s="109"/>
      <c r="P201" s="109"/>
      <c r="Q201" s="96"/>
    </row>
    <row r="202" spans="1:17" ht="15" customHeight="1" x14ac:dyDescent="0.45">
      <c r="A202" s="109"/>
      <c r="B202" s="90"/>
      <c r="C202" s="90"/>
      <c r="D202" s="90"/>
      <c r="E202" s="95"/>
      <c r="F202" s="90"/>
      <c r="G202" s="90"/>
      <c r="H202" s="90"/>
      <c r="I202" s="109"/>
      <c r="J202" s="109"/>
      <c r="K202" s="109"/>
      <c r="L202" s="90"/>
      <c r="M202" s="90"/>
      <c r="N202" s="90"/>
      <c r="O202" s="109"/>
      <c r="P202" s="109"/>
      <c r="Q202" s="96"/>
    </row>
    <row r="203" spans="1:17" ht="15" customHeight="1" x14ac:dyDescent="0.45">
      <c r="A203" s="109"/>
      <c r="B203" s="90"/>
      <c r="C203" s="90"/>
      <c r="D203" s="90"/>
      <c r="E203" s="95"/>
      <c r="F203" s="90"/>
      <c r="G203" s="90"/>
      <c r="H203" s="90"/>
      <c r="I203" s="109"/>
      <c r="J203" s="109"/>
      <c r="K203" s="109"/>
      <c r="L203" s="90"/>
      <c r="M203" s="90"/>
      <c r="N203" s="90"/>
      <c r="O203" s="109"/>
      <c r="P203" s="109"/>
      <c r="Q203" s="96"/>
    </row>
    <row r="204" spans="1:17" ht="15" customHeight="1" x14ac:dyDescent="0.45">
      <c r="A204" s="109"/>
      <c r="B204" s="90"/>
      <c r="C204" s="90"/>
      <c r="D204" s="90"/>
      <c r="E204" s="95"/>
      <c r="F204" s="90"/>
      <c r="G204" s="90"/>
      <c r="H204" s="90"/>
      <c r="I204" s="109"/>
      <c r="J204" s="109"/>
      <c r="K204" s="109"/>
      <c r="L204" s="90"/>
      <c r="M204" s="90"/>
      <c r="N204" s="90"/>
      <c r="O204" s="109"/>
      <c r="P204" s="109"/>
      <c r="Q204" s="96"/>
    </row>
    <row r="205" spans="1:17" ht="15" customHeight="1" x14ac:dyDescent="0.45">
      <c r="A205" s="109"/>
      <c r="B205" s="90"/>
      <c r="C205" s="90"/>
      <c r="D205" s="90"/>
      <c r="E205" s="95"/>
      <c r="F205" s="90"/>
      <c r="G205" s="90"/>
      <c r="H205" s="90"/>
      <c r="I205" s="109"/>
      <c r="J205" s="109"/>
      <c r="K205" s="109"/>
      <c r="L205" s="90"/>
      <c r="M205" s="90"/>
      <c r="N205" s="90"/>
      <c r="O205" s="109"/>
      <c r="P205" s="109"/>
      <c r="Q205" s="96"/>
    </row>
    <row r="206" spans="1:17" ht="15" customHeight="1" x14ac:dyDescent="0.45">
      <c r="A206" s="109"/>
      <c r="B206" s="90"/>
      <c r="C206" s="90"/>
      <c r="D206" s="90"/>
      <c r="E206" s="95"/>
      <c r="F206" s="90"/>
      <c r="G206" s="90"/>
      <c r="H206" s="90"/>
      <c r="I206" s="109"/>
      <c r="J206" s="109"/>
      <c r="K206" s="109"/>
      <c r="L206" s="90"/>
      <c r="M206" s="90"/>
      <c r="N206" s="90"/>
      <c r="O206" s="109"/>
      <c r="P206" s="109"/>
      <c r="Q206" s="96"/>
    </row>
    <row r="207" spans="1:17" ht="15" customHeight="1" x14ac:dyDescent="0.45">
      <c r="A207" s="109"/>
      <c r="B207" s="90"/>
      <c r="C207" s="90"/>
      <c r="D207" s="90"/>
      <c r="E207" s="95"/>
      <c r="F207" s="90"/>
      <c r="G207" s="90"/>
      <c r="H207" s="90"/>
      <c r="I207" s="109"/>
      <c r="J207" s="109"/>
      <c r="K207" s="109"/>
      <c r="L207" s="90"/>
      <c r="M207" s="90"/>
      <c r="N207" s="90"/>
      <c r="O207" s="109"/>
      <c r="P207" s="109"/>
      <c r="Q207" s="96"/>
    </row>
    <row r="208" spans="1:17" ht="15" customHeight="1" x14ac:dyDescent="0.45">
      <c r="A208" s="109"/>
      <c r="B208" s="90"/>
      <c r="C208" s="90"/>
      <c r="D208" s="90"/>
      <c r="E208" s="95"/>
      <c r="F208" s="90"/>
      <c r="G208" s="90"/>
      <c r="H208" s="90"/>
      <c r="I208" s="109"/>
      <c r="J208" s="109"/>
      <c r="K208" s="109"/>
      <c r="L208" s="90"/>
      <c r="M208" s="90"/>
      <c r="N208" s="90"/>
      <c r="O208" s="109"/>
      <c r="P208" s="109"/>
      <c r="Q208" s="96"/>
    </row>
    <row r="209" spans="1:17" ht="15" customHeight="1" x14ac:dyDescent="0.45">
      <c r="A209" s="109"/>
      <c r="B209" s="90"/>
      <c r="C209" s="90"/>
      <c r="D209" s="90"/>
      <c r="E209" s="95"/>
      <c r="F209" s="90"/>
      <c r="G209" s="90"/>
      <c r="H209" s="90"/>
      <c r="I209" s="109"/>
      <c r="J209" s="109"/>
      <c r="K209" s="109"/>
      <c r="L209" s="90"/>
      <c r="M209" s="90"/>
      <c r="N209" s="90"/>
      <c r="O209" s="109"/>
      <c r="P209" s="109"/>
      <c r="Q209" s="96"/>
    </row>
    <row r="210" spans="1:17" ht="15" customHeight="1" x14ac:dyDescent="0.45">
      <c r="A210" s="109"/>
      <c r="B210" s="90"/>
      <c r="C210" s="90"/>
      <c r="D210" s="90"/>
      <c r="E210" s="95"/>
      <c r="F210" s="90"/>
      <c r="G210" s="90"/>
      <c r="H210" s="90"/>
      <c r="I210" s="109"/>
      <c r="J210" s="109"/>
      <c r="K210" s="109"/>
      <c r="L210" s="90"/>
      <c r="M210" s="90"/>
      <c r="N210" s="90"/>
      <c r="O210" s="109"/>
      <c r="P210" s="109"/>
      <c r="Q210" s="96"/>
    </row>
    <row r="211" spans="1:17" ht="15" customHeight="1" x14ac:dyDescent="0.45">
      <c r="A211" s="109"/>
      <c r="B211" s="90"/>
      <c r="C211" s="90"/>
      <c r="D211" s="90"/>
      <c r="E211" s="95"/>
      <c r="F211" s="90"/>
      <c r="G211" s="90"/>
      <c r="H211" s="90"/>
      <c r="I211" s="109"/>
      <c r="J211" s="109"/>
      <c r="K211" s="109"/>
      <c r="L211" s="90"/>
      <c r="M211" s="90"/>
      <c r="N211" s="90"/>
      <c r="O211" s="109"/>
      <c r="P211" s="109"/>
      <c r="Q211" s="96"/>
    </row>
    <row r="212" spans="1:17" ht="15" customHeight="1" x14ac:dyDescent="0.45">
      <c r="A212" s="109"/>
      <c r="B212" s="90"/>
      <c r="C212" s="90"/>
      <c r="D212" s="90"/>
      <c r="E212" s="95"/>
      <c r="F212" s="90"/>
      <c r="G212" s="90"/>
      <c r="H212" s="90"/>
      <c r="I212" s="109"/>
      <c r="J212" s="109"/>
      <c r="K212" s="109"/>
      <c r="L212" s="90"/>
      <c r="M212" s="90"/>
      <c r="N212" s="90"/>
      <c r="O212" s="109"/>
      <c r="P212" s="109"/>
      <c r="Q212" s="96"/>
    </row>
    <row r="213" spans="1:17" ht="15" customHeight="1" x14ac:dyDescent="0.45">
      <c r="A213" s="109"/>
      <c r="B213" s="90"/>
      <c r="C213" s="90"/>
      <c r="D213" s="90"/>
      <c r="E213" s="95"/>
      <c r="F213" s="90"/>
      <c r="G213" s="90"/>
      <c r="H213" s="90"/>
      <c r="I213" s="109"/>
      <c r="J213" s="109"/>
      <c r="K213" s="109"/>
      <c r="L213" s="90"/>
      <c r="M213" s="90"/>
      <c r="N213" s="90"/>
      <c r="O213" s="109"/>
      <c r="P213" s="109"/>
      <c r="Q213" s="96"/>
    </row>
    <row r="214" spans="1:17" ht="15" customHeight="1" x14ac:dyDescent="0.45">
      <c r="A214" s="109"/>
      <c r="B214" s="90"/>
      <c r="C214" s="90"/>
      <c r="D214" s="90"/>
      <c r="E214" s="95"/>
      <c r="F214" s="90"/>
      <c r="G214" s="90"/>
      <c r="H214" s="90"/>
      <c r="I214" s="109"/>
      <c r="J214" s="109"/>
      <c r="K214" s="109"/>
      <c r="L214" s="90"/>
      <c r="M214" s="90"/>
      <c r="N214" s="90"/>
      <c r="O214" s="109"/>
      <c r="P214" s="109"/>
      <c r="Q214" s="96"/>
    </row>
    <row r="215" spans="1:17" ht="15" customHeight="1" x14ac:dyDescent="0.45">
      <c r="A215" s="109"/>
      <c r="B215" s="90"/>
      <c r="C215" s="90"/>
      <c r="D215" s="90"/>
      <c r="E215" s="95"/>
      <c r="F215" s="90"/>
      <c r="G215" s="90"/>
      <c r="H215" s="90"/>
      <c r="I215" s="109"/>
      <c r="J215" s="109"/>
      <c r="K215" s="109"/>
      <c r="L215" s="90"/>
      <c r="M215" s="90"/>
      <c r="N215" s="90"/>
      <c r="O215" s="109"/>
      <c r="P215" s="109"/>
      <c r="Q215" s="96"/>
    </row>
    <row r="216" spans="1:17" ht="15" customHeight="1" x14ac:dyDescent="0.45">
      <c r="A216" s="109"/>
      <c r="B216" s="90"/>
      <c r="C216" s="90"/>
      <c r="D216" s="90"/>
      <c r="E216" s="95"/>
      <c r="F216" s="90"/>
      <c r="G216" s="90"/>
      <c r="H216" s="90"/>
      <c r="I216" s="109"/>
      <c r="J216" s="109"/>
      <c r="K216" s="109"/>
      <c r="L216" s="90"/>
      <c r="M216" s="90"/>
      <c r="N216" s="90"/>
      <c r="O216" s="109"/>
      <c r="P216" s="109"/>
      <c r="Q216" s="96"/>
    </row>
    <row r="217" spans="1:17" ht="15" customHeight="1" x14ac:dyDescent="0.45">
      <c r="A217" s="109"/>
      <c r="B217" s="90"/>
      <c r="C217" s="90"/>
      <c r="D217" s="90"/>
      <c r="E217" s="95"/>
      <c r="F217" s="90"/>
      <c r="G217" s="90"/>
      <c r="H217" s="90"/>
      <c r="I217" s="109"/>
      <c r="J217" s="109"/>
      <c r="K217" s="109"/>
      <c r="L217" s="90"/>
      <c r="M217" s="90"/>
      <c r="N217" s="90"/>
      <c r="O217" s="109"/>
      <c r="P217" s="109"/>
      <c r="Q217" s="96"/>
    </row>
    <row r="218" spans="1:17" ht="15" customHeight="1" x14ac:dyDescent="0.45">
      <c r="A218" s="109"/>
      <c r="B218" s="90"/>
      <c r="C218" s="90"/>
      <c r="D218" s="90"/>
      <c r="E218" s="95"/>
      <c r="F218" s="90"/>
      <c r="G218" s="90"/>
      <c r="H218" s="90"/>
      <c r="I218" s="109"/>
      <c r="J218" s="109"/>
      <c r="K218" s="109"/>
      <c r="L218" s="90"/>
      <c r="M218" s="90"/>
      <c r="N218" s="90"/>
      <c r="O218" s="109"/>
      <c r="P218" s="109"/>
      <c r="Q218" s="96"/>
    </row>
    <row r="219" spans="1:17" ht="15" customHeight="1" x14ac:dyDescent="0.45">
      <c r="A219" s="109"/>
      <c r="B219" s="90"/>
      <c r="C219" s="90"/>
      <c r="D219" s="90"/>
      <c r="E219" s="95"/>
      <c r="F219" s="90"/>
      <c r="G219" s="90"/>
      <c r="H219" s="90"/>
      <c r="I219" s="109"/>
      <c r="J219" s="109"/>
      <c r="K219" s="109"/>
      <c r="L219" s="90"/>
      <c r="M219" s="90"/>
      <c r="N219" s="90"/>
      <c r="O219" s="109"/>
      <c r="P219" s="109"/>
      <c r="Q219" s="96"/>
    </row>
    <row r="220" spans="1:17" ht="15" customHeight="1" x14ac:dyDescent="0.45">
      <c r="A220" s="109"/>
      <c r="B220" s="90"/>
      <c r="C220" s="90"/>
      <c r="D220" s="90"/>
      <c r="E220" s="95"/>
      <c r="F220" s="90"/>
      <c r="G220" s="90"/>
      <c r="H220" s="90"/>
      <c r="I220" s="109"/>
      <c r="J220" s="109"/>
      <c r="K220" s="109"/>
      <c r="L220" s="90"/>
      <c r="M220" s="90"/>
      <c r="N220" s="90"/>
      <c r="O220" s="109"/>
      <c r="P220" s="109"/>
      <c r="Q220" s="96"/>
    </row>
    <row r="221" spans="1:17" ht="15" customHeight="1" x14ac:dyDescent="0.45">
      <c r="A221" s="109"/>
      <c r="B221" s="90"/>
      <c r="C221" s="90"/>
      <c r="D221" s="90"/>
      <c r="E221" s="95"/>
      <c r="F221" s="90"/>
      <c r="G221" s="90"/>
      <c r="H221" s="90"/>
      <c r="I221" s="109"/>
      <c r="J221" s="109"/>
      <c r="K221" s="109"/>
      <c r="L221" s="90"/>
      <c r="M221" s="90"/>
      <c r="N221" s="90"/>
      <c r="O221" s="109"/>
      <c r="P221" s="109"/>
      <c r="Q221" s="96"/>
    </row>
    <row r="222" spans="1:17" ht="15" customHeight="1" x14ac:dyDescent="0.45">
      <c r="A222" s="109"/>
      <c r="B222" s="90"/>
      <c r="C222" s="90"/>
      <c r="D222" s="90"/>
      <c r="E222" s="95"/>
      <c r="F222" s="90"/>
      <c r="G222" s="90"/>
      <c r="H222" s="90"/>
      <c r="I222" s="109"/>
      <c r="J222" s="109"/>
      <c r="K222" s="109"/>
      <c r="L222" s="90"/>
      <c r="M222" s="90"/>
      <c r="N222" s="90"/>
      <c r="O222" s="109"/>
      <c r="P222" s="109"/>
      <c r="Q222" s="96"/>
    </row>
    <row r="223" spans="1:17" ht="15" customHeight="1" x14ac:dyDescent="0.45">
      <c r="A223" s="109"/>
      <c r="B223" s="90"/>
      <c r="C223" s="90"/>
      <c r="D223" s="90"/>
      <c r="E223" s="95"/>
      <c r="F223" s="90"/>
      <c r="G223" s="90"/>
      <c r="H223" s="90"/>
      <c r="I223" s="109"/>
      <c r="J223" s="109"/>
      <c r="K223" s="109"/>
      <c r="L223" s="90"/>
      <c r="M223" s="90"/>
      <c r="N223" s="90"/>
      <c r="O223" s="109"/>
      <c r="P223" s="109"/>
      <c r="Q223" s="96"/>
    </row>
    <row r="224" spans="1:17" ht="15" customHeight="1" x14ac:dyDescent="0.45">
      <c r="A224" s="109"/>
      <c r="B224" s="90"/>
      <c r="C224" s="90"/>
      <c r="D224" s="90"/>
      <c r="E224" s="95"/>
      <c r="F224" s="90"/>
      <c r="G224" s="90"/>
      <c r="H224" s="90"/>
      <c r="I224" s="109"/>
      <c r="J224" s="109"/>
      <c r="K224" s="109"/>
      <c r="L224" s="90"/>
      <c r="M224" s="90"/>
      <c r="N224" s="90"/>
      <c r="O224" s="109"/>
      <c r="P224" s="109"/>
      <c r="Q224" s="96"/>
    </row>
    <row r="225" spans="1:17" ht="15" customHeight="1" x14ac:dyDescent="0.45">
      <c r="A225" s="109"/>
      <c r="B225" s="90"/>
      <c r="C225" s="90"/>
      <c r="D225" s="90"/>
      <c r="E225" s="95"/>
      <c r="F225" s="90"/>
      <c r="G225" s="90"/>
      <c r="H225" s="90"/>
      <c r="I225" s="109"/>
      <c r="J225" s="109"/>
      <c r="K225" s="109"/>
      <c r="L225" s="90"/>
      <c r="M225" s="90"/>
      <c r="N225" s="90"/>
      <c r="O225" s="109"/>
      <c r="P225" s="109"/>
      <c r="Q225" s="96"/>
    </row>
    <row r="226" spans="1:17" ht="15" customHeight="1" x14ac:dyDescent="0.45">
      <c r="A226" s="109"/>
      <c r="B226" s="90"/>
      <c r="C226" s="90"/>
      <c r="D226" s="90"/>
      <c r="E226" s="95"/>
      <c r="F226" s="90"/>
      <c r="G226" s="90"/>
      <c r="H226" s="90"/>
      <c r="I226" s="109"/>
      <c r="J226" s="109"/>
      <c r="K226" s="109"/>
      <c r="L226" s="90"/>
      <c r="M226" s="90"/>
      <c r="N226" s="90"/>
      <c r="O226" s="109"/>
      <c r="P226" s="109"/>
      <c r="Q226" s="96"/>
    </row>
    <row r="227" spans="1:17" ht="15" customHeight="1" x14ac:dyDescent="0.45">
      <c r="A227" s="109"/>
      <c r="B227" s="90"/>
      <c r="C227" s="90"/>
      <c r="D227" s="90"/>
      <c r="E227" s="95"/>
      <c r="F227" s="90"/>
      <c r="G227" s="90"/>
      <c r="H227" s="90"/>
      <c r="I227" s="109"/>
      <c r="J227" s="109"/>
      <c r="K227" s="109"/>
      <c r="L227" s="90"/>
      <c r="M227" s="90"/>
      <c r="N227" s="90"/>
      <c r="O227" s="109"/>
      <c r="P227" s="109"/>
      <c r="Q227" s="96"/>
    </row>
    <row r="228" spans="1:17" ht="15" customHeight="1" x14ac:dyDescent="0.45">
      <c r="A228" s="109"/>
      <c r="B228" s="90"/>
      <c r="C228" s="90"/>
      <c r="D228" s="90"/>
      <c r="E228" s="95"/>
      <c r="F228" s="90"/>
      <c r="G228" s="90"/>
      <c r="H228" s="90"/>
      <c r="I228" s="109"/>
      <c r="J228" s="109"/>
      <c r="K228" s="109"/>
      <c r="L228" s="90"/>
      <c r="M228" s="90"/>
      <c r="N228" s="90"/>
      <c r="O228" s="109"/>
      <c r="P228" s="109"/>
      <c r="Q228" s="96"/>
    </row>
    <row r="229" spans="1:17" ht="15" customHeight="1" x14ac:dyDescent="0.45">
      <c r="A229" s="109"/>
      <c r="B229" s="90"/>
      <c r="C229" s="90"/>
      <c r="D229" s="90"/>
      <c r="E229" s="95"/>
      <c r="F229" s="90"/>
      <c r="G229" s="90"/>
      <c r="H229" s="90"/>
      <c r="I229" s="109"/>
      <c r="J229" s="109"/>
      <c r="K229" s="109"/>
      <c r="L229" s="90"/>
      <c r="M229" s="90"/>
      <c r="N229" s="90"/>
      <c r="O229" s="109"/>
      <c r="P229" s="109"/>
      <c r="Q229" s="96"/>
    </row>
    <row r="230" spans="1:17" ht="15" customHeight="1" x14ac:dyDescent="0.45">
      <c r="A230" s="109"/>
      <c r="B230" s="90"/>
      <c r="C230" s="90"/>
      <c r="D230" s="90"/>
      <c r="E230" s="95"/>
      <c r="F230" s="90"/>
      <c r="G230" s="90"/>
      <c r="H230" s="90"/>
      <c r="I230" s="109"/>
      <c r="J230" s="109"/>
      <c r="K230" s="109"/>
      <c r="L230" s="90"/>
      <c r="M230" s="90"/>
      <c r="N230" s="90"/>
      <c r="O230" s="109"/>
      <c r="P230" s="109"/>
      <c r="Q230" s="96"/>
    </row>
    <row r="231" spans="1:17" ht="15" customHeight="1" x14ac:dyDescent="0.45">
      <c r="A231" s="109"/>
      <c r="B231" s="90"/>
      <c r="C231" s="90"/>
      <c r="D231" s="90"/>
      <c r="E231" s="95"/>
      <c r="F231" s="90"/>
      <c r="G231" s="90"/>
      <c r="H231" s="90"/>
      <c r="I231" s="109"/>
      <c r="J231" s="109"/>
      <c r="K231" s="109"/>
      <c r="L231" s="90"/>
      <c r="M231" s="90"/>
      <c r="N231" s="90"/>
      <c r="O231" s="109"/>
      <c r="P231" s="109"/>
      <c r="Q231" s="96"/>
    </row>
    <row r="232" spans="1:17" ht="15" customHeight="1" x14ac:dyDescent="0.45">
      <c r="A232" s="109"/>
      <c r="B232" s="90"/>
      <c r="C232" s="90"/>
      <c r="D232" s="90"/>
      <c r="E232" s="95"/>
      <c r="F232" s="90"/>
      <c r="G232" s="90"/>
      <c r="H232" s="90"/>
      <c r="I232" s="109"/>
      <c r="J232" s="109"/>
      <c r="K232" s="109"/>
      <c r="L232" s="90"/>
      <c r="M232" s="90"/>
      <c r="N232" s="90"/>
      <c r="O232" s="109"/>
      <c r="P232" s="109"/>
      <c r="Q232" s="96"/>
    </row>
    <row r="233" spans="1:17" ht="15" customHeight="1" x14ac:dyDescent="0.45">
      <c r="A233" s="109"/>
      <c r="B233" s="90"/>
      <c r="C233" s="90"/>
      <c r="D233" s="90"/>
      <c r="E233" s="95"/>
      <c r="F233" s="90"/>
      <c r="G233" s="90"/>
      <c r="H233" s="90"/>
      <c r="I233" s="109"/>
      <c r="J233" s="109"/>
      <c r="K233" s="109"/>
      <c r="L233" s="90"/>
      <c r="M233" s="90"/>
      <c r="N233" s="90"/>
      <c r="O233" s="109"/>
      <c r="P233" s="109"/>
      <c r="Q233" s="96"/>
    </row>
    <row r="234" spans="1:17" ht="15" customHeight="1" x14ac:dyDescent="0.45">
      <c r="A234" s="109"/>
      <c r="B234" s="90"/>
      <c r="C234" s="90"/>
      <c r="D234" s="90"/>
      <c r="E234" s="95"/>
      <c r="F234" s="90"/>
      <c r="G234" s="90"/>
      <c r="H234" s="90"/>
      <c r="I234" s="109"/>
      <c r="J234" s="109"/>
      <c r="K234" s="109"/>
      <c r="L234" s="90"/>
      <c r="M234" s="90"/>
      <c r="N234" s="90"/>
      <c r="O234" s="109"/>
      <c r="P234" s="109"/>
      <c r="Q234" s="96"/>
    </row>
    <row r="235" spans="1:17" ht="15" customHeight="1" x14ac:dyDescent="0.45">
      <c r="A235" s="109"/>
      <c r="B235" s="90"/>
      <c r="C235" s="90"/>
      <c r="D235" s="90"/>
      <c r="E235" s="95"/>
      <c r="F235" s="90"/>
      <c r="G235" s="90"/>
      <c r="H235" s="90"/>
      <c r="I235" s="109"/>
      <c r="J235" s="109"/>
      <c r="K235" s="109"/>
      <c r="L235" s="90"/>
      <c r="M235" s="90"/>
      <c r="N235" s="90"/>
      <c r="O235" s="109"/>
      <c r="P235" s="109"/>
      <c r="Q235" s="96"/>
    </row>
    <row r="236" spans="1:17" ht="15" customHeight="1" x14ac:dyDescent="0.45">
      <c r="A236" s="109"/>
      <c r="B236" s="90"/>
      <c r="C236" s="90"/>
      <c r="D236" s="90"/>
      <c r="E236" s="95"/>
      <c r="F236" s="90"/>
      <c r="G236" s="90"/>
      <c r="H236" s="90"/>
      <c r="I236" s="109"/>
      <c r="J236" s="109"/>
      <c r="K236" s="109"/>
      <c r="L236" s="90"/>
      <c r="M236" s="90"/>
      <c r="N236" s="90"/>
      <c r="O236" s="109"/>
      <c r="P236" s="109"/>
      <c r="Q236" s="96"/>
    </row>
    <row r="237" spans="1:17" ht="15" customHeight="1" x14ac:dyDescent="0.45">
      <c r="A237" s="109"/>
      <c r="B237" s="90"/>
      <c r="C237" s="90"/>
      <c r="D237" s="90"/>
      <c r="E237" s="95"/>
      <c r="F237" s="90"/>
      <c r="G237" s="90"/>
      <c r="H237" s="90"/>
      <c r="I237" s="109"/>
      <c r="J237" s="109"/>
      <c r="K237" s="109"/>
      <c r="L237" s="90"/>
      <c r="M237" s="90"/>
      <c r="N237" s="90"/>
      <c r="O237" s="109"/>
      <c r="P237" s="109"/>
      <c r="Q237" s="96"/>
    </row>
    <row r="238" spans="1:17" ht="15" customHeight="1" x14ac:dyDescent="0.45">
      <c r="A238" s="109"/>
      <c r="B238" s="90"/>
      <c r="C238" s="90"/>
      <c r="D238" s="90"/>
      <c r="E238" s="95"/>
      <c r="F238" s="90"/>
      <c r="G238" s="90"/>
      <c r="H238" s="90"/>
      <c r="I238" s="109"/>
      <c r="J238" s="109"/>
      <c r="K238" s="109"/>
      <c r="L238" s="90"/>
      <c r="M238" s="90"/>
      <c r="N238" s="90"/>
      <c r="O238" s="109"/>
      <c r="P238" s="109"/>
      <c r="Q238" s="96"/>
    </row>
    <row r="239" spans="1:17" ht="15" customHeight="1" x14ac:dyDescent="0.45">
      <c r="A239" s="109"/>
      <c r="B239" s="90"/>
      <c r="C239" s="90"/>
      <c r="D239" s="90"/>
      <c r="E239" s="95"/>
      <c r="F239" s="90"/>
      <c r="G239" s="90"/>
      <c r="H239" s="90"/>
      <c r="I239" s="109"/>
      <c r="J239" s="109"/>
      <c r="K239" s="109"/>
      <c r="L239" s="90"/>
      <c r="M239" s="90"/>
      <c r="N239" s="90"/>
      <c r="O239" s="109"/>
      <c r="P239" s="109"/>
      <c r="Q239" s="96"/>
    </row>
    <row r="240" spans="1:17" ht="15" customHeight="1" x14ac:dyDescent="0.45">
      <c r="A240" s="109"/>
      <c r="B240" s="90"/>
      <c r="C240" s="90"/>
      <c r="D240" s="90"/>
      <c r="E240" s="95"/>
      <c r="F240" s="90"/>
      <c r="G240" s="90"/>
      <c r="H240" s="90"/>
      <c r="I240" s="109"/>
      <c r="J240" s="109"/>
      <c r="K240" s="109"/>
      <c r="L240" s="90"/>
      <c r="M240" s="90"/>
      <c r="N240" s="90"/>
      <c r="O240" s="109"/>
      <c r="P240" s="109"/>
      <c r="Q240" s="96"/>
    </row>
    <row r="241" spans="1:17" ht="15" customHeight="1" x14ac:dyDescent="0.45">
      <c r="A241" s="109"/>
      <c r="B241" s="90"/>
      <c r="C241" s="90"/>
      <c r="D241" s="90"/>
      <c r="E241" s="95"/>
      <c r="F241" s="90"/>
      <c r="G241" s="90"/>
      <c r="H241" s="90"/>
      <c r="I241" s="109"/>
      <c r="J241" s="109"/>
      <c r="K241" s="109"/>
      <c r="L241" s="90"/>
      <c r="M241" s="90"/>
      <c r="N241" s="90"/>
      <c r="O241" s="109"/>
      <c r="P241" s="109"/>
      <c r="Q241" s="96"/>
    </row>
    <row r="242" spans="1:17" ht="15" customHeight="1" x14ac:dyDescent="0.45">
      <c r="A242" s="109"/>
      <c r="B242" s="90"/>
      <c r="C242" s="90"/>
      <c r="D242" s="90"/>
      <c r="E242" s="95"/>
      <c r="F242" s="90"/>
      <c r="G242" s="90"/>
      <c r="H242" s="90"/>
      <c r="I242" s="109"/>
      <c r="J242" s="109"/>
      <c r="K242" s="109"/>
      <c r="L242" s="90"/>
      <c r="M242" s="90"/>
      <c r="N242" s="90"/>
      <c r="O242" s="109"/>
      <c r="P242" s="109"/>
      <c r="Q242" s="96"/>
    </row>
    <row r="243" spans="1:17" ht="15" customHeight="1" x14ac:dyDescent="0.45">
      <c r="A243" s="109"/>
      <c r="B243" s="90"/>
      <c r="C243" s="90"/>
      <c r="D243" s="90"/>
      <c r="E243" s="95"/>
      <c r="F243" s="90"/>
      <c r="G243" s="90"/>
      <c r="H243" s="90"/>
      <c r="I243" s="109"/>
      <c r="J243" s="109"/>
      <c r="K243" s="109"/>
      <c r="L243" s="90"/>
      <c r="M243" s="90"/>
      <c r="N243" s="90"/>
      <c r="O243" s="109"/>
      <c r="P243" s="109"/>
      <c r="Q243" s="96"/>
    </row>
    <row r="244" spans="1:17" ht="15" customHeight="1" x14ac:dyDescent="0.45">
      <c r="A244" s="109"/>
      <c r="B244" s="90"/>
      <c r="C244" s="90"/>
      <c r="D244" s="90"/>
      <c r="E244" s="95"/>
      <c r="F244" s="90"/>
      <c r="G244" s="90"/>
      <c r="H244" s="90"/>
      <c r="I244" s="109"/>
      <c r="J244" s="109"/>
      <c r="K244" s="109"/>
      <c r="L244" s="90"/>
      <c r="M244" s="90"/>
      <c r="N244" s="90"/>
      <c r="O244" s="109"/>
      <c r="P244" s="109"/>
      <c r="Q244" s="96"/>
    </row>
    <row r="245" spans="1:17" ht="15" customHeight="1" x14ac:dyDescent="0.45">
      <c r="A245" s="109"/>
      <c r="B245" s="90"/>
      <c r="C245" s="90"/>
      <c r="D245" s="90"/>
      <c r="E245" s="95"/>
      <c r="F245" s="90"/>
      <c r="G245" s="90"/>
      <c r="H245" s="90"/>
      <c r="I245" s="109"/>
      <c r="J245" s="109"/>
      <c r="K245" s="109"/>
      <c r="L245" s="90"/>
      <c r="M245" s="90"/>
      <c r="N245" s="90"/>
      <c r="O245" s="109"/>
      <c r="P245" s="109"/>
      <c r="Q245" s="96"/>
    </row>
    <row r="246" spans="1:17" ht="15" customHeight="1" x14ac:dyDescent="0.45">
      <c r="A246" s="109"/>
      <c r="B246" s="90"/>
      <c r="C246" s="90"/>
      <c r="D246" s="90"/>
      <c r="E246" s="95"/>
      <c r="F246" s="90"/>
      <c r="G246" s="90"/>
      <c r="H246" s="90"/>
      <c r="I246" s="109"/>
      <c r="J246" s="109"/>
      <c r="K246" s="109"/>
      <c r="L246" s="90"/>
      <c r="M246" s="90"/>
      <c r="N246" s="90"/>
      <c r="O246" s="109"/>
      <c r="P246" s="109"/>
      <c r="Q246" s="96"/>
    </row>
    <row r="247" spans="1:17" ht="15" customHeight="1" x14ac:dyDescent="0.45">
      <c r="A247" s="109"/>
      <c r="B247" s="90"/>
      <c r="C247" s="90"/>
      <c r="D247" s="90"/>
      <c r="E247" s="95"/>
      <c r="F247" s="90"/>
      <c r="G247" s="90"/>
      <c r="H247" s="90"/>
      <c r="I247" s="109"/>
      <c r="J247" s="109"/>
      <c r="K247" s="109"/>
      <c r="L247" s="90"/>
      <c r="M247" s="90"/>
      <c r="N247" s="90"/>
      <c r="O247" s="109"/>
      <c r="P247" s="109"/>
      <c r="Q247" s="96"/>
    </row>
    <row r="248" spans="1:17" ht="15" customHeight="1" x14ac:dyDescent="0.45">
      <c r="A248" s="109"/>
      <c r="B248" s="90"/>
      <c r="C248" s="90"/>
      <c r="D248" s="90"/>
      <c r="E248" s="95"/>
      <c r="F248" s="90"/>
      <c r="G248" s="90"/>
      <c r="H248" s="90"/>
      <c r="I248" s="109"/>
      <c r="J248" s="109"/>
      <c r="K248" s="109"/>
      <c r="L248" s="90"/>
      <c r="M248" s="90"/>
      <c r="N248" s="90"/>
      <c r="O248" s="109"/>
      <c r="P248" s="109"/>
      <c r="Q248" s="96"/>
    </row>
    <row r="249" spans="1:17" ht="15" customHeight="1" x14ac:dyDescent="0.45">
      <c r="A249" s="109"/>
      <c r="B249" s="90"/>
      <c r="C249" s="90"/>
      <c r="D249" s="90"/>
      <c r="E249" s="95"/>
      <c r="F249" s="90"/>
      <c r="G249" s="90"/>
      <c r="H249" s="90"/>
      <c r="I249" s="109"/>
      <c r="J249" s="109"/>
      <c r="K249" s="109"/>
      <c r="L249" s="90"/>
      <c r="M249" s="90"/>
      <c r="N249" s="90"/>
      <c r="O249" s="109"/>
      <c r="P249" s="109"/>
      <c r="Q249" s="96"/>
    </row>
    <row r="250" spans="1:17" ht="15" customHeight="1" x14ac:dyDescent="0.45">
      <c r="A250" s="109"/>
      <c r="B250" s="90"/>
      <c r="C250" s="90"/>
      <c r="D250" s="90"/>
      <c r="E250" s="95"/>
      <c r="F250" s="90"/>
      <c r="G250" s="90"/>
      <c r="H250" s="90"/>
      <c r="I250" s="109"/>
      <c r="J250" s="109"/>
      <c r="K250" s="109"/>
      <c r="L250" s="90"/>
      <c r="M250" s="90"/>
      <c r="N250" s="90"/>
      <c r="O250" s="109"/>
      <c r="P250" s="109"/>
      <c r="Q250" s="96"/>
    </row>
    <row r="251" spans="1:17" ht="15" customHeight="1" x14ac:dyDescent="0.45">
      <c r="A251" s="109"/>
      <c r="B251" s="90"/>
      <c r="C251" s="90"/>
      <c r="D251" s="90"/>
      <c r="E251" s="95"/>
      <c r="F251" s="90"/>
      <c r="G251" s="90"/>
      <c r="H251" s="90"/>
      <c r="I251" s="109"/>
      <c r="J251" s="109"/>
      <c r="K251" s="109"/>
      <c r="L251" s="90"/>
      <c r="M251" s="90"/>
      <c r="N251" s="90"/>
      <c r="O251" s="109"/>
      <c r="P251" s="109"/>
      <c r="Q251" s="96"/>
    </row>
    <row r="252" spans="1:17" ht="15" customHeight="1" x14ac:dyDescent="0.45">
      <c r="A252" s="109"/>
      <c r="B252" s="90"/>
      <c r="C252" s="90"/>
      <c r="D252" s="90"/>
      <c r="E252" s="95"/>
      <c r="F252" s="90"/>
      <c r="G252" s="90"/>
      <c r="H252" s="90"/>
      <c r="I252" s="109"/>
      <c r="J252" s="109"/>
      <c r="K252" s="109"/>
      <c r="L252" s="90"/>
      <c r="M252" s="90"/>
      <c r="N252" s="90"/>
      <c r="O252" s="109"/>
      <c r="P252" s="109"/>
      <c r="Q252" s="96"/>
    </row>
    <row r="253" spans="1:17" ht="15" customHeight="1" x14ac:dyDescent="0.45">
      <c r="A253" s="109"/>
      <c r="B253" s="90"/>
      <c r="C253" s="90"/>
      <c r="D253" s="90"/>
      <c r="E253" s="95"/>
      <c r="F253" s="90"/>
      <c r="G253" s="90"/>
      <c r="H253" s="90"/>
      <c r="I253" s="109"/>
      <c r="J253" s="109"/>
      <c r="K253" s="109"/>
      <c r="L253" s="90"/>
      <c r="M253" s="90"/>
      <c r="N253" s="90"/>
      <c r="O253" s="109"/>
      <c r="P253" s="109"/>
      <c r="Q253" s="96"/>
    </row>
    <row r="254" spans="1:17" ht="15" customHeight="1" x14ac:dyDescent="0.45">
      <c r="A254" s="109"/>
      <c r="B254" s="90"/>
      <c r="C254" s="90"/>
      <c r="D254" s="90"/>
      <c r="E254" s="95"/>
      <c r="F254" s="90"/>
      <c r="G254" s="90"/>
      <c r="H254" s="90"/>
      <c r="I254" s="109"/>
      <c r="J254" s="109"/>
      <c r="K254" s="109"/>
      <c r="L254" s="90"/>
      <c r="M254" s="90"/>
      <c r="N254" s="90"/>
      <c r="O254" s="109"/>
      <c r="P254" s="109"/>
      <c r="Q254" s="96"/>
    </row>
    <row r="255" spans="1:17" ht="15" customHeight="1" x14ac:dyDescent="0.45">
      <c r="A255" s="109"/>
      <c r="B255" s="90"/>
      <c r="C255" s="90"/>
      <c r="D255" s="90"/>
      <c r="E255" s="95"/>
      <c r="F255" s="90"/>
      <c r="G255" s="90"/>
      <c r="H255" s="90"/>
      <c r="I255" s="109"/>
      <c r="J255" s="109"/>
      <c r="K255" s="109"/>
      <c r="L255" s="90"/>
      <c r="M255" s="90"/>
      <c r="N255" s="90"/>
      <c r="O255" s="109"/>
      <c r="P255" s="109"/>
      <c r="Q255" s="96"/>
    </row>
    <row r="256" spans="1:17" ht="15" customHeight="1" x14ac:dyDescent="0.45">
      <c r="A256" s="109"/>
      <c r="B256" s="90"/>
      <c r="C256" s="90"/>
      <c r="D256" s="90"/>
      <c r="E256" s="95"/>
      <c r="F256" s="90"/>
      <c r="G256" s="90"/>
      <c r="H256" s="90"/>
      <c r="I256" s="109"/>
      <c r="J256" s="109"/>
      <c r="K256" s="109"/>
      <c r="L256" s="90"/>
      <c r="M256" s="90"/>
      <c r="N256" s="90"/>
      <c r="O256" s="109"/>
      <c r="P256" s="109"/>
      <c r="Q256" s="96"/>
    </row>
  </sheetData>
  <autoFilter ref="A4:O71" xr:uid="{730A3079-73D7-4EFC-9C97-F444DB0FFBD8}"/>
  <mergeCells count="16">
    <mergeCell ref="B47:E47"/>
    <mergeCell ref="B1:O1"/>
    <mergeCell ref="B2:O2"/>
    <mergeCell ref="B28:E28"/>
    <mergeCell ref="B5:Q5"/>
    <mergeCell ref="B29:Q29"/>
    <mergeCell ref="B42:Q42"/>
    <mergeCell ref="B45:Q45"/>
    <mergeCell ref="B50:E50"/>
    <mergeCell ref="B70:E70"/>
    <mergeCell ref="B65:E65"/>
    <mergeCell ref="B56:E56"/>
    <mergeCell ref="B48:Q48"/>
    <mergeCell ref="B51:Q51"/>
    <mergeCell ref="B57:Q57"/>
    <mergeCell ref="B66:Q66"/>
  </mergeCells>
  <phoneticPr fontId="53" type="noConversion"/>
  <conditionalFormatting sqref="G34:G40 G30:G32">
    <cfRule type="top10" dxfId="4" priority="6" rank="1"/>
  </conditionalFormatting>
  <conditionalFormatting sqref="G33">
    <cfRule type="top10" dxfId="3" priority="4" rank="1"/>
  </conditionalFormatting>
  <conditionalFormatting sqref="G58:G59 G62:G64">
    <cfRule type="top10" dxfId="2" priority="5" rank="1"/>
  </conditionalFormatting>
  <conditionalFormatting sqref="G60:G61">
    <cfRule type="top10" dxfId="1" priority="3" rank="1"/>
  </conditionalFormatting>
  <conditionalFormatting sqref="G6:G27">
    <cfRule type="top10" dxfId="0" priority="24" rank="1"/>
  </conditionalFormatting>
  <hyperlinks>
    <hyperlink ref="P6" r:id="rId1" xr:uid="{02307ECB-9EB7-442E-B580-4E03BDD0315E}"/>
    <hyperlink ref="P52" r:id="rId2" xr:uid="{040D400B-3E2E-4E44-AA63-17E09789C0F5}"/>
    <hyperlink ref="P59" r:id="rId3" xr:uid="{1F2E453D-8C77-4039-9173-7E458455BDFE}"/>
    <hyperlink ref="P62" r:id="rId4" xr:uid="{A7C8D30E-F06E-4F73-A858-B7630277CF99}"/>
    <hyperlink ref="P8" r:id="rId5" display="https://www.solili.mx/nave/spec-1-monterrey-mty/32923/?search_type=building&amp;building_type=industrial&amp;transaction=rent&amp;size_by=sqm&amp;min_size=&amp;max_size=&amp;currency=mxn&amp;price_by=usd-sqm&amp;min_price=&amp;max_price=&amp;building_class=A%2CB%2CC&amp;fit_out=all&amp;building_status=all&amp;min_year_built=&amp;max_year_built=&amp;min_floors=&amp;max_floors=&amp;min_typical_floor_size=&amp;max_typical_floor_size=&amp;leasing_company=&amp;min_nra=&amp;max_nra=&amp;building_developer=&amp;industrial_park=&amp;bedrooms=0&amp;baths=0&amp;min_parking_spaces=&amp;max_parking_spaces=&amp;bounds_data=%7B%22bounds%22%3A%7B%22sw%22%3A%7B%22lat%22%3A25.837736%2C%22lng%22%3A-100.145593%7D%2C%22ne%22%3A%7B%22lat%22%3A25.853735999999998%2C%22lng%22%3A-100.127593%7D%7D%2C%22center%22%3A%7B%22lat%22%3A25.845736%2C%22lng%22%3A-100.136593%7D%2C%22zoom%22%3A15%7D&amp;shape_data=&amp;order_by=&amp;verified=false" xr:uid="{6CDFC612-7247-4762-AD5C-7B8F00F146BA}"/>
    <hyperlink ref="P12" r:id="rId6" xr:uid="{87EB2929-0DDA-4312-B140-063D1414DA74}"/>
    <hyperlink ref="P21" r:id="rId7" xr:uid="{2B25177D-592A-4909-924A-0B7784F8B196}"/>
    <hyperlink ref="P22" r:id="rId8" xr:uid="{24663E0A-B976-4087-9AFC-E0E88E11A4E9}"/>
    <hyperlink ref="P35" r:id="rId9" xr:uid="{8BE0E004-3A8A-4EB5-978D-7DA283B6EDAC}"/>
    <hyperlink ref="P36" r:id="rId10" xr:uid="{6F27A3AB-C443-4B2B-8BBE-36D9911BBE57}"/>
    <hyperlink ref="P63" r:id="rId11" xr:uid="{2EF7809B-5F45-4AC8-95CF-EB78F0B8A55A}"/>
    <hyperlink ref="P64" r:id="rId12" xr:uid="{1E262D94-BB7B-472C-BA0A-3D3BFE8F5AF3}"/>
    <hyperlink ref="P30" r:id="rId13" xr:uid="{8295A66F-C921-43EA-9786-BE0B86734021}"/>
    <hyperlink ref="P32" r:id="rId14" xr:uid="{51B0D86B-F095-41DA-9DFF-D3A8BA1FF678}"/>
    <hyperlink ref="P37" r:id="rId15" xr:uid="{8E8C331B-84F8-4937-8E31-230E4363B6CC}"/>
    <hyperlink ref="P38" r:id="rId16" xr:uid="{EA6E9436-FCB2-4BDF-B7DC-8BC75440CFD1}"/>
    <hyperlink ref="P39" r:id="rId17" xr:uid="{595320A5-8CDC-43E6-99B8-880852151848}"/>
    <hyperlink ref="P40" r:id="rId18" xr:uid="{4BC58F7A-2AB0-49A8-977E-697369643624}"/>
  </hyperlinks>
  <pageMargins left="0.70866141732283472" right="0.70866141732283472" top="0.74803149606299213" bottom="0.74803149606299213" header="0.31496062992125984" footer="0.31496062992125984"/>
  <pageSetup paperSize="17" scale="75" orientation="landscape"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C8B-BA0D-4DD2-A0D1-30FAB4210390}">
  <sheetPr codeName="Hoja4"/>
  <dimension ref="A1:R10"/>
  <sheetViews>
    <sheetView zoomScale="104" zoomScaleNormal="120" workbookViewId="0">
      <selection activeCell="M5" sqref="M5"/>
    </sheetView>
  </sheetViews>
  <sheetFormatPr baseColWidth="10" defaultColWidth="11.3984375" defaultRowHeight="14.25" x14ac:dyDescent="0.45"/>
  <cols>
    <col min="1" max="1" width="3" customWidth="1"/>
    <col min="2" max="2" width="17.73046875" customWidth="1"/>
    <col min="3" max="3" width="20.265625" customWidth="1"/>
    <col min="4" max="4" width="19" hidden="1" customWidth="1"/>
    <col min="5" max="5" width="29.59765625" customWidth="1"/>
    <col min="6" max="6" width="24" customWidth="1"/>
    <col min="7" max="7" width="13.86328125" customWidth="1"/>
    <col min="8" max="9" width="14.59765625" customWidth="1"/>
    <col min="10" max="10" width="7.59765625" customWidth="1"/>
    <col min="11" max="11" width="17.265625" customWidth="1"/>
    <col min="12" max="12" width="23.265625" customWidth="1"/>
    <col min="13" max="13" width="18.265625" customWidth="1"/>
    <col min="14" max="14" width="22.265625" customWidth="1"/>
    <col min="15" max="15" width="11.73046875" customWidth="1"/>
    <col min="16" max="16" width="9.3984375" customWidth="1"/>
  </cols>
  <sheetData>
    <row r="1" spans="1:18" s="20" customFormat="1" ht="21.75" x14ac:dyDescent="0.45">
      <c r="A1" s="27"/>
      <c r="B1" s="234" t="s">
        <v>0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7"/>
      <c r="R1" s="27"/>
    </row>
    <row r="2" spans="1:18" s="20" customFormat="1" ht="15.75" customHeight="1" x14ac:dyDescent="0.45">
      <c r="A2" s="27"/>
      <c r="B2" s="238" t="s">
        <v>297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7"/>
      <c r="R2" s="27"/>
    </row>
    <row r="3" spans="1:18" s="1" customFormat="1" ht="13.15" x14ac:dyDescent="0.35">
      <c r="A3" s="30"/>
      <c r="B3" s="25" t="s">
        <v>298</v>
      </c>
      <c r="C3" s="23" t="s">
        <v>299</v>
      </c>
      <c r="D3" s="23" t="s">
        <v>300</v>
      </c>
      <c r="E3" s="23" t="s">
        <v>301</v>
      </c>
      <c r="F3" s="23" t="s">
        <v>302</v>
      </c>
      <c r="G3" s="23" t="s">
        <v>303</v>
      </c>
      <c r="H3" s="23" t="s">
        <v>304</v>
      </c>
      <c r="I3" s="23" t="s">
        <v>305</v>
      </c>
      <c r="J3" s="23" t="s">
        <v>306</v>
      </c>
      <c r="K3" s="23" t="s">
        <v>10</v>
      </c>
      <c r="L3" s="23" t="s">
        <v>307</v>
      </c>
      <c r="M3" s="24" t="s">
        <v>308</v>
      </c>
      <c r="N3" s="24" t="s">
        <v>309</v>
      </c>
      <c r="O3" s="24" t="s">
        <v>310</v>
      </c>
      <c r="P3" s="24" t="s">
        <v>311</v>
      </c>
    </row>
    <row r="4" spans="1:18" s="15" customFormat="1" ht="13.15" x14ac:dyDescent="0.45">
      <c r="A4" s="68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31"/>
      <c r="O4" s="31"/>
      <c r="P4" s="31"/>
      <c r="Q4" s="27"/>
      <c r="R4" s="27"/>
    </row>
    <row r="5" spans="1:18" s="108" customFormat="1" ht="13.15" x14ac:dyDescent="0.45">
      <c r="A5" s="16">
        <v>1</v>
      </c>
      <c r="B5" s="74" t="s">
        <v>20</v>
      </c>
      <c r="C5" s="74" t="s">
        <v>488</v>
      </c>
      <c r="D5" s="74"/>
      <c r="E5" s="74" t="s">
        <v>216</v>
      </c>
      <c r="F5" s="16" t="s">
        <v>489</v>
      </c>
      <c r="G5" s="103">
        <v>4.7</v>
      </c>
      <c r="H5" s="104" t="s">
        <v>490</v>
      </c>
      <c r="I5" s="104" t="s">
        <v>490</v>
      </c>
      <c r="J5" s="105" t="s">
        <v>24</v>
      </c>
      <c r="K5" s="103" t="s">
        <v>492</v>
      </c>
      <c r="L5" s="103"/>
      <c r="M5" s="104"/>
      <c r="N5" s="103" t="s">
        <v>491</v>
      </c>
      <c r="O5" s="103"/>
      <c r="P5" s="103" t="s">
        <v>21</v>
      </c>
      <c r="Q5" s="106"/>
      <c r="R5" s="107"/>
    </row>
    <row r="6" spans="1:18" s="44" customFormat="1" ht="17.25" x14ac:dyDescent="0.45">
      <c r="A6" s="36"/>
      <c r="B6" s="37"/>
      <c r="C6" s="37"/>
      <c r="D6" s="37"/>
      <c r="E6" s="38"/>
      <c r="F6" s="38" t="s">
        <v>88</v>
      </c>
      <c r="G6" s="39">
        <f>SUM(G5:G5)</f>
        <v>4.7</v>
      </c>
      <c r="H6" s="39">
        <f>SUM(H5:H5)</f>
        <v>0</v>
      </c>
      <c r="I6" s="39">
        <f>SUM(I5:I5)</f>
        <v>0</v>
      </c>
      <c r="J6" s="40"/>
      <c r="K6" s="38"/>
      <c r="L6" s="38"/>
      <c r="M6" s="41"/>
      <c r="N6" s="42"/>
      <c r="O6" s="42"/>
      <c r="P6" s="42"/>
      <c r="Q6" s="43"/>
      <c r="R6" s="43"/>
    </row>
    <row r="8" spans="1:18" x14ac:dyDescent="0.45">
      <c r="A8" s="70"/>
      <c r="C8" s="29"/>
    </row>
    <row r="9" spans="1:18" x14ac:dyDescent="0.45">
      <c r="B9" s="99"/>
      <c r="C9" s="99"/>
      <c r="D9" s="29"/>
      <c r="E9" s="29"/>
      <c r="F9" s="83"/>
      <c r="G9" s="83"/>
      <c r="H9" s="83"/>
      <c r="I9" s="83"/>
    </row>
    <row r="10" spans="1:18" x14ac:dyDescent="0.45">
      <c r="B10" s="87"/>
    </row>
  </sheetData>
  <mergeCells count="3">
    <mergeCell ref="B1:P1"/>
    <mergeCell ref="B2:P2"/>
    <mergeCell ref="B4:M4"/>
  </mergeCells>
  <pageMargins left="0.70866141732283472" right="0.70866141732283472" top="0.74803149606299213" bottom="0.74803149606299213" header="0.31496062992125984" footer="0.31496062992125984"/>
  <pageSetup paperSize="17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2658-FC51-4D63-8DCC-86999BA32FAE}">
  <sheetPr codeName="Hoja5"/>
  <dimension ref="A1:Q37"/>
  <sheetViews>
    <sheetView topLeftCell="A6" workbookViewId="0">
      <selection activeCell="A33" sqref="A33"/>
    </sheetView>
  </sheetViews>
  <sheetFormatPr baseColWidth="10" defaultColWidth="11.3984375" defaultRowHeight="14.25" x14ac:dyDescent="0.45"/>
  <cols>
    <col min="1" max="1" width="3" customWidth="1"/>
    <col min="2" max="2" width="17.73046875" customWidth="1"/>
    <col min="3" max="3" width="20.86328125" customWidth="1"/>
    <col min="4" max="4" width="29.73046875" customWidth="1"/>
    <col min="5" max="5" width="21.3984375" customWidth="1"/>
    <col min="6" max="6" width="15.59765625" customWidth="1"/>
    <col min="7" max="7" width="19.265625" customWidth="1"/>
    <col min="8" max="8" width="23.86328125" customWidth="1"/>
    <col min="9" max="9" width="12.3984375" customWidth="1"/>
    <col min="10" max="10" width="26.1328125" customWidth="1"/>
  </cols>
  <sheetData>
    <row r="1" spans="1:17" s="20" customFormat="1" ht="21.75" x14ac:dyDescent="0.45">
      <c r="A1" s="234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46"/>
      <c r="L1" s="46"/>
      <c r="M1" s="46"/>
      <c r="N1" s="46"/>
      <c r="O1" s="46"/>
      <c r="P1" s="27"/>
      <c r="Q1" s="27"/>
    </row>
    <row r="2" spans="1:17" s="20" customFormat="1" ht="15.75" customHeight="1" x14ac:dyDescent="0.45">
      <c r="A2" s="230" t="s">
        <v>313</v>
      </c>
      <c r="B2" s="230"/>
      <c r="C2" s="230"/>
      <c r="D2" s="230"/>
      <c r="E2" s="230"/>
      <c r="F2" s="230"/>
      <c r="G2" s="230"/>
      <c r="H2" s="230"/>
      <c r="I2" s="230"/>
      <c r="J2" s="230"/>
      <c r="K2" s="47"/>
      <c r="L2" s="47"/>
      <c r="M2" s="47"/>
      <c r="N2" s="47"/>
      <c r="O2" s="47"/>
      <c r="P2" s="27"/>
      <c r="Q2" s="27"/>
    </row>
    <row r="3" spans="1:17" s="20" customFormat="1" x14ac:dyDescent="0.45">
      <c r="A3" s="27"/>
      <c r="B3" s="27"/>
      <c r="C3" s="27"/>
      <c r="D3" s="27"/>
      <c r="E3" s="27"/>
      <c r="F3" s="27"/>
      <c r="G3" s="27"/>
      <c r="H3" s="27"/>
      <c r="I3" s="27"/>
      <c r="J3" s="27"/>
      <c r="K3" s="48"/>
      <c r="L3" s="27"/>
      <c r="M3" s="27"/>
      <c r="N3" s="27"/>
      <c r="O3" s="27"/>
      <c r="P3" s="27"/>
      <c r="Q3" s="27"/>
    </row>
    <row r="4" spans="1:17" s="1" customFormat="1" ht="27" customHeight="1" x14ac:dyDescent="0.35">
      <c r="A4" s="30"/>
      <c r="B4" s="25" t="s">
        <v>298</v>
      </c>
      <c r="C4" s="23" t="s">
        <v>299</v>
      </c>
      <c r="D4" s="23" t="s">
        <v>301</v>
      </c>
      <c r="E4" s="49" t="s">
        <v>314</v>
      </c>
      <c r="F4" s="23" t="s">
        <v>315</v>
      </c>
      <c r="G4" s="23" t="s">
        <v>316</v>
      </c>
      <c r="H4" s="23" t="s">
        <v>317</v>
      </c>
      <c r="I4" s="24" t="s">
        <v>318</v>
      </c>
      <c r="J4" s="24" t="s">
        <v>309</v>
      </c>
    </row>
    <row r="5" spans="1:17" s="15" customFormat="1" ht="14.25" customHeight="1" x14ac:dyDescent="0.45">
      <c r="A5" s="68"/>
      <c r="B5" s="239"/>
      <c r="C5" s="239"/>
      <c r="D5" s="239"/>
      <c r="E5" s="239"/>
      <c r="F5" s="239"/>
      <c r="G5" s="239"/>
      <c r="H5" s="239"/>
      <c r="I5" s="239"/>
      <c r="J5" s="50"/>
      <c r="K5" s="27"/>
      <c r="L5" s="27"/>
    </row>
    <row r="6" spans="1:17" s="11" customFormat="1" ht="24" customHeight="1" x14ac:dyDescent="0.45">
      <c r="A6" s="74">
        <v>1</v>
      </c>
      <c r="B6" s="71" t="s">
        <v>86</v>
      </c>
      <c r="C6" s="73" t="s">
        <v>319</v>
      </c>
      <c r="D6" s="73" t="s">
        <v>320</v>
      </c>
      <c r="E6" s="72">
        <v>1433</v>
      </c>
      <c r="F6" s="72">
        <v>77.89</v>
      </c>
      <c r="G6" s="72">
        <v>1355</v>
      </c>
      <c r="H6" s="72">
        <v>78</v>
      </c>
      <c r="I6" s="51">
        <v>60</v>
      </c>
      <c r="J6" s="52" t="s">
        <v>321</v>
      </c>
      <c r="K6" s="34"/>
      <c r="L6" s="35"/>
    </row>
    <row r="7" spans="1:17" s="11" customFormat="1" ht="24" customHeight="1" x14ac:dyDescent="0.45">
      <c r="A7" s="74">
        <v>2</v>
      </c>
      <c r="B7" s="71" t="s">
        <v>47</v>
      </c>
      <c r="C7" s="73" t="s">
        <v>56</v>
      </c>
      <c r="D7" s="73" t="s">
        <v>322</v>
      </c>
      <c r="E7" s="72">
        <v>19</v>
      </c>
      <c r="F7" s="72"/>
      <c r="G7" s="72">
        <v>19</v>
      </c>
      <c r="H7" s="72">
        <v>19</v>
      </c>
      <c r="I7" s="51"/>
      <c r="J7" s="52"/>
      <c r="K7" s="34"/>
      <c r="L7" s="35"/>
    </row>
    <row r="8" spans="1:17" s="11" customFormat="1" ht="13.15" x14ac:dyDescent="0.45">
      <c r="A8" s="74">
        <v>3</v>
      </c>
      <c r="B8" s="71" t="s">
        <v>47</v>
      </c>
      <c r="C8" s="73" t="s">
        <v>50</v>
      </c>
      <c r="D8" s="73" t="s">
        <v>49</v>
      </c>
      <c r="E8" s="45"/>
      <c r="F8" s="72"/>
      <c r="G8" s="72"/>
      <c r="H8" s="72"/>
      <c r="I8" s="51"/>
      <c r="J8" s="73"/>
      <c r="K8" s="34"/>
      <c r="L8" s="35"/>
    </row>
    <row r="9" spans="1:17" s="11" customFormat="1" ht="13.15" x14ac:dyDescent="0.45">
      <c r="A9" s="74">
        <v>4</v>
      </c>
      <c r="B9" s="71" t="s">
        <v>47</v>
      </c>
      <c r="C9" s="73" t="s">
        <v>323</v>
      </c>
      <c r="D9" s="73" t="s">
        <v>324</v>
      </c>
      <c r="E9" s="72"/>
      <c r="F9" s="73"/>
      <c r="G9" s="72"/>
      <c r="H9" s="72"/>
      <c r="I9" s="51"/>
      <c r="J9" s="73"/>
      <c r="K9" s="34"/>
      <c r="L9" s="35"/>
    </row>
    <row r="10" spans="1:17" s="11" customFormat="1" ht="13.15" x14ac:dyDescent="0.45">
      <c r="A10" s="74">
        <v>5</v>
      </c>
      <c r="B10" s="71" t="s">
        <v>47</v>
      </c>
      <c r="C10" s="73" t="s">
        <v>323</v>
      </c>
      <c r="D10" s="73" t="s">
        <v>325</v>
      </c>
      <c r="E10" s="72"/>
      <c r="F10" s="73"/>
      <c r="G10" s="72"/>
      <c r="H10" s="72"/>
      <c r="I10" s="51"/>
      <c r="J10" s="73"/>
      <c r="K10" s="34"/>
      <c r="L10" s="35"/>
    </row>
    <row r="11" spans="1:17" s="11" customFormat="1" ht="13.15" x14ac:dyDescent="0.45">
      <c r="A11" s="74">
        <v>6</v>
      </c>
      <c r="B11" s="71" t="s">
        <v>47</v>
      </c>
      <c r="C11" s="73" t="s">
        <v>326</v>
      </c>
      <c r="D11" s="73" t="s">
        <v>327</v>
      </c>
      <c r="E11" s="72"/>
      <c r="F11" s="73"/>
      <c r="G11" s="72"/>
      <c r="H11" s="72"/>
      <c r="I11" s="51"/>
      <c r="J11" s="73"/>
      <c r="K11" s="34"/>
      <c r="L11" s="35"/>
    </row>
    <row r="12" spans="1:17" s="11" customFormat="1" ht="13.15" x14ac:dyDescent="0.45">
      <c r="A12" s="74">
        <v>7</v>
      </c>
      <c r="B12" s="71" t="s">
        <v>20</v>
      </c>
      <c r="C12" s="73" t="s">
        <v>328</v>
      </c>
      <c r="D12" s="73" t="s">
        <v>329</v>
      </c>
      <c r="E12" s="72" t="s">
        <v>330</v>
      </c>
      <c r="F12" s="73"/>
      <c r="G12" s="72"/>
      <c r="H12" s="72" t="s">
        <v>330</v>
      </c>
      <c r="I12" s="51">
        <v>110</v>
      </c>
      <c r="J12" s="69"/>
    </row>
    <row r="13" spans="1:17" s="11" customFormat="1" ht="13.15" x14ac:dyDescent="0.45">
      <c r="A13" s="74">
        <v>8</v>
      </c>
      <c r="B13" s="71" t="s">
        <v>20</v>
      </c>
      <c r="C13" s="73" t="s">
        <v>331</v>
      </c>
      <c r="D13" s="73" t="s">
        <v>30</v>
      </c>
      <c r="E13" s="72">
        <v>27</v>
      </c>
      <c r="F13" s="73">
        <v>2.2999999999999998</v>
      </c>
      <c r="G13" s="72">
        <v>24</v>
      </c>
      <c r="H13" s="72"/>
      <c r="I13" s="51"/>
      <c r="J13" s="69"/>
    </row>
    <row r="14" spans="1:17" s="11" customFormat="1" ht="13.15" x14ac:dyDescent="0.45">
      <c r="A14" s="74">
        <v>9</v>
      </c>
      <c r="B14" s="71" t="s">
        <v>20</v>
      </c>
      <c r="C14" s="73" t="s">
        <v>74</v>
      </c>
      <c r="D14" s="73" t="s">
        <v>35</v>
      </c>
      <c r="E14" s="32">
        <v>70</v>
      </c>
      <c r="F14" s="33">
        <v>70</v>
      </c>
      <c r="G14" s="32">
        <v>0</v>
      </c>
      <c r="H14" s="32">
        <v>0</v>
      </c>
      <c r="I14" s="53"/>
      <c r="J14" s="69"/>
    </row>
    <row r="15" spans="1:17" s="11" customFormat="1" ht="13.15" x14ac:dyDescent="0.45">
      <c r="A15" s="74">
        <v>10</v>
      </c>
      <c r="B15" s="71" t="s">
        <v>20</v>
      </c>
      <c r="C15" s="73" t="s">
        <v>332</v>
      </c>
      <c r="D15" s="73" t="s">
        <v>333</v>
      </c>
      <c r="E15" s="32">
        <v>43</v>
      </c>
      <c r="F15" s="33">
        <v>2.6</v>
      </c>
      <c r="G15" s="32">
        <v>40</v>
      </c>
      <c r="H15" s="32">
        <v>40</v>
      </c>
      <c r="I15" s="53"/>
      <c r="J15" s="69"/>
    </row>
    <row r="16" spans="1:17" s="11" customFormat="1" ht="13.15" x14ac:dyDescent="0.45">
      <c r="A16" s="74">
        <v>11</v>
      </c>
      <c r="B16" s="71" t="s">
        <v>334</v>
      </c>
      <c r="C16" s="73" t="s">
        <v>74</v>
      </c>
      <c r="D16" s="73" t="s">
        <v>73</v>
      </c>
      <c r="E16" s="32">
        <v>242</v>
      </c>
      <c r="F16" s="33">
        <v>200</v>
      </c>
      <c r="G16" s="32">
        <v>32</v>
      </c>
      <c r="H16" s="32">
        <v>32</v>
      </c>
      <c r="I16" s="53"/>
      <c r="J16" s="69"/>
    </row>
    <row r="17" spans="1:10" s="11" customFormat="1" ht="13.15" x14ac:dyDescent="0.45">
      <c r="A17" s="74">
        <v>12</v>
      </c>
      <c r="B17" s="71" t="s">
        <v>335</v>
      </c>
      <c r="C17" s="73" t="s">
        <v>74</v>
      </c>
      <c r="D17" s="73" t="s">
        <v>82</v>
      </c>
      <c r="E17" s="32">
        <v>150</v>
      </c>
      <c r="F17" s="33">
        <v>89</v>
      </c>
      <c r="G17" s="32">
        <v>67</v>
      </c>
      <c r="H17" s="32">
        <v>67</v>
      </c>
      <c r="I17" s="53"/>
      <c r="J17" s="69"/>
    </row>
    <row r="18" spans="1:10" s="11" customFormat="1" ht="13.15" x14ac:dyDescent="0.45">
      <c r="A18" s="74">
        <v>13</v>
      </c>
      <c r="B18" s="71" t="s">
        <v>335</v>
      </c>
      <c r="C18" s="73" t="s">
        <v>336</v>
      </c>
      <c r="D18" s="73" t="s">
        <v>336</v>
      </c>
      <c r="E18" s="72">
        <v>2.7</v>
      </c>
      <c r="F18" s="73"/>
      <c r="G18" s="72">
        <v>1</v>
      </c>
      <c r="H18" s="72">
        <v>1.7</v>
      </c>
      <c r="I18" s="51"/>
      <c r="J18" s="69"/>
    </row>
    <row r="19" spans="1:10" s="11" customFormat="1" ht="13.15" x14ac:dyDescent="0.45">
      <c r="A19" s="74">
        <v>14</v>
      </c>
      <c r="B19" s="71" t="s">
        <v>335</v>
      </c>
      <c r="C19" s="73" t="s">
        <v>113</v>
      </c>
      <c r="D19" s="73" t="s">
        <v>337</v>
      </c>
      <c r="E19" s="72">
        <v>40</v>
      </c>
      <c r="F19" s="73"/>
      <c r="G19" s="72">
        <v>40</v>
      </c>
      <c r="H19" s="72">
        <v>40</v>
      </c>
      <c r="I19" s="51"/>
      <c r="J19" s="69"/>
    </row>
    <row r="20" spans="1:10" s="11" customFormat="1" ht="13.15" x14ac:dyDescent="0.45">
      <c r="A20" s="74">
        <v>15</v>
      </c>
      <c r="B20" s="71" t="s">
        <v>66</v>
      </c>
      <c r="C20" s="73" t="s">
        <v>338</v>
      </c>
      <c r="D20" s="73" t="s">
        <v>339</v>
      </c>
      <c r="E20" s="72">
        <v>21</v>
      </c>
      <c r="F20" s="73"/>
      <c r="G20" s="72">
        <v>21</v>
      </c>
      <c r="H20" s="72">
        <v>21</v>
      </c>
      <c r="I20" s="51">
        <v>110</v>
      </c>
      <c r="J20" s="69" t="s">
        <v>340</v>
      </c>
    </row>
    <row r="21" spans="1:10" s="11" customFormat="1" ht="13.15" x14ac:dyDescent="0.45">
      <c r="A21" s="74">
        <v>16</v>
      </c>
      <c r="B21" s="71" t="s">
        <v>341</v>
      </c>
      <c r="C21" s="73" t="s">
        <v>41</v>
      </c>
      <c r="D21" s="73" t="s">
        <v>342</v>
      </c>
      <c r="E21" s="72">
        <v>72</v>
      </c>
      <c r="F21" s="73"/>
      <c r="G21" s="72">
        <v>72</v>
      </c>
      <c r="H21" s="72">
        <v>72</v>
      </c>
      <c r="I21" s="51"/>
      <c r="J21" s="69"/>
    </row>
    <row r="22" spans="1:10" s="11" customFormat="1" ht="13.15" x14ac:dyDescent="0.45">
      <c r="A22" s="74">
        <v>17</v>
      </c>
      <c r="B22" s="71" t="s">
        <v>343</v>
      </c>
      <c r="C22" s="73" t="s">
        <v>344</v>
      </c>
      <c r="D22" s="73" t="s">
        <v>345</v>
      </c>
      <c r="E22" s="72">
        <v>65</v>
      </c>
      <c r="F22" s="73">
        <v>5</v>
      </c>
      <c r="G22" s="72">
        <v>60</v>
      </c>
      <c r="H22" s="72"/>
      <c r="I22" s="51"/>
      <c r="J22" s="69"/>
    </row>
    <row r="23" spans="1:10" s="11" customFormat="1" ht="13.15" x14ac:dyDescent="0.45">
      <c r="A23" s="74">
        <v>18</v>
      </c>
      <c r="B23" s="71" t="s">
        <v>346</v>
      </c>
      <c r="C23" s="73" t="s">
        <v>347</v>
      </c>
      <c r="D23" s="73" t="s">
        <v>348</v>
      </c>
      <c r="E23" s="72">
        <v>100</v>
      </c>
      <c r="F23" s="73">
        <v>0</v>
      </c>
      <c r="G23" s="72">
        <v>100</v>
      </c>
      <c r="H23" s="72">
        <v>100</v>
      </c>
      <c r="I23" s="54"/>
      <c r="J23" s="69"/>
    </row>
    <row r="24" spans="1:10" s="11" customFormat="1" ht="13.15" x14ac:dyDescent="0.45">
      <c r="A24" s="74">
        <v>19</v>
      </c>
      <c r="B24" s="71" t="s">
        <v>346</v>
      </c>
      <c r="C24" s="73" t="s">
        <v>347</v>
      </c>
      <c r="D24" s="73" t="s">
        <v>349</v>
      </c>
      <c r="E24" s="72">
        <v>15</v>
      </c>
      <c r="F24" s="73">
        <v>5</v>
      </c>
      <c r="G24" s="72">
        <v>10</v>
      </c>
      <c r="H24" s="72">
        <v>6</v>
      </c>
      <c r="I24" s="54"/>
      <c r="J24" s="69"/>
    </row>
    <row r="25" spans="1:10" s="11" customFormat="1" ht="13.15" x14ac:dyDescent="0.45">
      <c r="A25" s="74">
        <v>20</v>
      </c>
      <c r="B25" s="71" t="s">
        <v>350</v>
      </c>
      <c r="C25" s="73" t="s">
        <v>347</v>
      </c>
      <c r="D25" s="73" t="s">
        <v>351</v>
      </c>
      <c r="E25" s="72">
        <v>56</v>
      </c>
      <c r="F25" s="73">
        <v>20</v>
      </c>
      <c r="G25" s="72">
        <v>36</v>
      </c>
      <c r="H25" s="72">
        <v>56</v>
      </c>
      <c r="I25" s="54"/>
      <c r="J25" s="69"/>
    </row>
    <row r="26" spans="1:10" s="11" customFormat="1" ht="13.15" x14ac:dyDescent="0.45">
      <c r="A26" s="74">
        <v>21</v>
      </c>
      <c r="B26" s="71" t="s">
        <v>352</v>
      </c>
      <c r="C26" s="73" t="s">
        <v>347</v>
      </c>
      <c r="D26" s="73" t="s">
        <v>353</v>
      </c>
      <c r="E26" s="72">
        <v>40</v>
      </c>
      <c r="F26" s="73">
        <v>50</v>
      </c>
      <c r="G26" s="72">
        <v>40</v>
      </c>
      <c r="H26" s="72">
        <v>15</v>
      </c>
      <c r="I26" s="54"/>
      <c r="J26" s="69"/>
    </row>
    <row r="27" spans="1:10" s="11" customFormat="1" ht="13.15" x14ac:dyDescent="0.45">
      <c r="A27" s="74">
        <v>22</v>
      </c>
      <c r="B27" s="71" t="s">
        <v>352</v>
      </c>
      <c r="C27" s="73" t="s">
        <v>56</v>
      </c>
      <c r="D27" s="73" t="s">
        <v>354</v>
      </c>
      <c r="E27" s="72">
        <v>14.6</v>
      </c>
      <c r="F27" s="73"/>
      <c r="G27" s="72">
        <v>15</v>
      </c>
      <c r="H27" s="72">
        <v>15</v>
      </c>
      <c r="I27" s="51"/>
      <c r="J27" s="69" t="s">
        <v>355</v>
      </c>
    </row>
    <row r="28" spans="1:10" s="11" customFormat="1" ht="13.15" x14ac:dyDescent="0.45">
      <c r="A28" s="74">
        <v>23</v>
      </c>
      <c r="B28" s="71" t="s">
        <v>356</v>
      </c>
      <c r="C28" s="73" t="s">
        <v>357</v>
      </c>
      <c r="D28" s="73" t="s">
        <v>358</v>
      </c>
      <c r="E28" s="72">
        <v>114</v>
      </c>
      <c r="F28" s="73">
        <v>0</v>
      </c>
      <c r="G28" s="72">
        <v>114</v>
      </c>
      <c r="H28" s="72"/>
      <c r="I28" s="51"/>
      <c r="J28" s="69"/>
    </row>
    <row r="29" spans="1:10" s="11" customFormat="1" ht="13.15" x14ac:dyDescent="0.45">
      <c r="A29" s="74">
        <v>24</v>
      </c>
      <c r="B29" s="71" t="s">
        <v>352</v>
      </c>
      <c r="C29" s="73" t="s">
        <v>359</v>
      </c>
      <c r="D29" s="73" t="s">
        <v>360</v>
      </c>
      <c r="E29" s="72">
        <v>10</v>
      </c>
      <c r="F29" s="73">
        <v>0</v>
      </c>
      <c r="G29" s="72">
        <v>10</v>
      </c>
      <c r="H29" s="72">
        <v>10</v>
      </c>
      <c r="I29" s="51"/>
      <c r="J29" s="69"/>
    </row>
    <row r="30" spans="1:10" s="11" customFormat="1" ht="13.15" x14ac:dyDescent="0.45">
      <c r="A30" s="74">
        <v>25</v>
      </c>
      <c r="B30" s="71" t="s">
        <v>59</v>
      </c>
      <c r="C30" s="73" t="s">
        <v>361</v>
      </c>
      <c r="D30" s="73" t="s">
        <v>362</v>
      </c>
      <c r="E30" s="72"/>
      <c r="F30" s="73"/>
      <c r="G30" s="72"/>
      <c r="H30" s="72"/>
      <c r="I30" s="51"/>
      <c r="J30" s="69"/>
    </row>
    <row r="31" spans="1:10" s="11" customFormat="1" ht="13.15" x14ac:dyDescent="0.45">
      <c r="A31" s="74">
        <v>26</v>
      </c>
      <c r="B31" s="71" t="s">
        <v>343</v>
      </c>
      <c r="C31" s="73" t="s">
        <v>67</v>
      </c>
      <c r="D31" s="73" t="s">
        <v>363</v>
      </c>
      <c r="E31" s="72">
        <v>100</v>
      </c>
      <c r="F31" s="73"/>
      <c r="G31" s="72"/>
      <c r="H31" s="72">
        <v>100</v>
      </c>
      <c r="I31" s="51">
        <v>95</v>
      </c>
      <c r="J31" s="69" t="s">
        <v>364</v>
      </c>
    </row>
    <row r="32" spans="1:10" s="11" customFormat="1" ht="13.15" x14ac:dyDescent="0.45">
      <c r="A32" s="74">
        <v>27</v>
      </c>
      <c r="B32" s="71" t="s">
        <v>20</v>
      </c>
      <c r="C32" s="73" t="s">
        <v>74</v>
      </c>
      <c r="D32" s="73" t="s">
        <v>365</v>
      </c>
      <c r="E32" s="72">
        <v>58</v>
      </c>
      <c r="F32" s="73">
        <v>0</v>
      </c>
      <c r="G32" s="72">
        <v>4</v>
      </c>
      <c r="H32" s="72">
        <v>0</v>
      </c>
      <c r="I32" s="51"/>
      <c r="J32" s="69"/>
    </row>
    <row r="33" spans="1:12" s="11" customFormat="1" ht="13.15" x14ac:dyDescent="0.45">
      <c r="A33" s="74">
        <v>28</v>
      </c>
      <c r="B33" s="71" t="s">
        <v>20</v>
      </c>
      <c r="C33" s="73" t="s">
        <v>217</v>
      </c>
      <c r="D33" s="73" t="s">
        <v>216</v>
      </c>
      <c r="E33" s="72">
        <v>4.7</v>
      </c>
      <c r="F33" s="73"/>
      <c r="G33" s="72"/>
      <c r="H33" s="72"/>
      <c r="I33" s="51"/>
      <c r="J33" s="69" t="s">
        <v>366</v>
      </c>
    </row>
    <row r="34" spans="1:12" s="44" customFormat="1" ht="17.25" x14ac:dyDescent="0.45">
      <c r="A34" s="55"/>
      <c r="B34" s="56"/>
      <c r="C34" s="56"/>
      <c r="D34" s="57"/>
      <c r="E34" s="58"/>
      <c r="F34" s="57"/>
      <c r="G34" s="58"/>
      <c r="H34" s="58"/>
      <c r="I34" s="58"/>
      <c r="J34" s="125"/>
      <c r="K34" s="43"/>
      <c r="L34" s="43"/>
    </row>
    <row r="36" spans="1:12" x14ac:dyDescent="0.45">
      <c r="C36" s="45"/>
    </row>
    <row r="37" spans="1:12" x14ac:dyDescent="0.45">
      <c r="C37" s="45"/>
    </row>
  </sheetData>
  <mergeCells count="3">
    <mergeCell ref="A1:J1"/>
    <mergeCell ref="A2:J2"/>
    <mergeCell ref="B5:I5"/>
  </mergeCells>
  <pageMargins left="0.70866141732283472" right="0.70866141732283472" top="0.74803149606299213" bottom="0.74803149606299213" header="0.31496062992125984" footer="0.31496062992125984"/>
  <pageSetup paperSiz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1E5-1042-45A2-B36A-585245E2EFC4}">
  <sheetPr codeName="Hoja6"/>
  <dimension ref="A1:F45"/>
  <sheetViews>
    <sheetView workbookViewId="0">
      <selection activeCell="A8" sqref="A8"/>
    </sheetView>
  </sheetViews>
  <sheetFormatPr baseColWidth="10" defaultColWidth="11.3984375" defaultRowHeight="14.25" x14ac:dyDescent="0.45"/>
  <cols>
    <col min="1" max="1" width="41.265625" customWidth="1"/>
    <col min="2" max="2" width="13.3984375" customWidth="1"/>
    <col min="3" max="3" width="12.59765625" customWidth="1"/>
  </cols>
  <sheetData>
    <row r="1" spans="1:4" ht="14.65" thickBot="1" x14ac:dyDescent="0.5">
      <c r="A1" s="240" t="s">
        <v>367</v>
      </c>
      <c r="B1" s="240"/>
      <c r="C1" s="240"/>
    </row>
    <row r="2" spans="1:4" x14ac:dyDescent="0.45">
      <c r="A2" s="241" t="s">
        <v>368</v>
      </c>
      <c r="B2" s="243">
        <v>45413</v>
      </c>
      <c r="C2" s="244"/>
    </row>
    <row r="3" spans="1:4" x14ac:dyDescent="0.45">
      <c r="A3" s="242"/>
      <c r="B3" s="80" t="s">
        <v>369</v>
      </c>
      <c r="C3" s="79" t="s">
        <v>370</v>
      </c>
    </row>
    <row r="4" spans="1:4" ht="12.75" customHeight="1" x14ac:dyDescent="0.5">
      <c r="A4" s="59" t="s">
        <v>59</v>
      </c>
      <c r="B4" s="60"/>
      <c r="C4" s="78"/>
    </row>
    <row r="5" spans="1:4" x14ac:dyDescent="0.45">
      <c r="A5" s="84" t="s">
        <v>152</v>
      </c>
      <c r="B5" s="85">
        <v>823693</v>
      </c>
      <c r="C5" s="61">
        <f>B5/B45</f>
        <v>7.6936279229227744E-3</v>
      </c>
    </row>
    <row r="6" spans="1:4" x14ac:dyDescent="0.45">
      <c r="A6" s="128" t="s">
        <v>255</v>
      </c>
      <c r="B6" s="129">
        <v>240000</v>
      </c>
      <c r="C6" s="61">
        <f>B6/B45</f>
        <v>2.2416976974448805E-3</v>
      </c>
    </row>
    <row r="7" spans="1:4" x14ac:dyDescent="0.45">
      <c r="A7" s="84" t="s">
        <v>27</v>
      </c>
      <c r="B7" s="85">
        <v>4122500</v>
      </c>
      <c r="C7" s="61">
        <f>B7/B45</f>
        <v>3.8505828157152165E-2</v>
      </c>
    </row>
    <row r="8" spans="1:4" x14ac:dyDescent="0.45">
      <c r="A8" s="84" t="s">
        <v>371</v>
      </c>
      <c r="B8" s="85">
        <v>194000</v>
      </c>
      <c r="C8" s="61">
        <f>B8/B45</f>
        <v>1.8120389721012781E-3</v>
      </c>
    </row>
    <row r="9" spans="1:4" x14ac:dyDescent="0.45">
      <c r="A9" s="84" t="s">
        <v>67</v>
      </c>
      <c r="B9" s="85">
        <v>974000</v>
      </c>
      <c r="C9" s="61">
        <f>B9/B45</f>
        <v>9.0975564887971396E-3</v>
      </c>
    </row>
    <row r="10" spans="1:4" x14ac:dyDescent="0.45">
      <c r="A10" s="84" t="s">
        <v>134</v>
      </c>
      <c r="B10" s="85">
        <v>622751</v>
      </c>
      <c r="C10" s="61">
        <f>B10/B45</f>
        <v>5.8167478449229031E-3</v>
      </c>
    </row>
    <row r="11" spans="1:4" x14ac:dyDescent="0.45">
      <c r="A11" s="84" t="s">
        <v>28</v>
      </c>
      <c r="B11" s="85">
        <v>3282425</v>
      </c>
      <c r="C11" s="61">
        <f>B11/B45</f>
        <v>3.0659185685564631E-2</v>
      </c>
      <c r="D11" s="26"/>
    </row>
    <row r="12" spans="1:4" x14ac:dyDescent="0.45">
      <c r="A12" s="84" t="s">
        <v>372</v>
      </c>
      <c r="B12" s="85">
        <v>570597</v>
      </c>
      <c r="C12" s="61">
        <f>B12/B45</f>
        <v>5.3296082544539844E-3</v>
      </c>
      <c r="D12" s="26"/>
    </row>
    <row r="13" spans="1:4" x14ac:dyDescent="0.45">
      <c r="A13" s="84" t="s">
        <v>103</v>
      </c>
      <c r="B13" s="85">
        <v>549980</v>
      </c>
      <c r="C13" s="61">
        <f>B13/B45</f>
        <v>5.1370370818363967E-3</v>
      </c>
      <c r="D13" s="26"/>
    </row>
    <row r="14" spans="1:4" x14ac:dyDescent="0.45">
      <c r="A14" s="84" t="s">
        <v>48</v>
      </c>
      <c r="B14" s="85">
        <v>3500000</v>
      </c>
      <c r="C14" s="61">
        <f>B14/B45</f>
        <v>3.2691424754404501E-2</v>
      </c>
    </row>
    <row r="15" spans="1:4" x14ac:dyDescent="0.45">
      <c r="A15" s="84" t="s">
        <v>50</v>
      </c>
      <c r="B15" s="216">
        <v>9110487</v>
      </c>
      <c r="C15" s="61">
        <f>B15/B45</f>
        <v>8.5095657210422976E-2</v>
      </c>
    </row>
    <row r="16" spans="1:4" x14ac:dyDescent="0.45">
      <c r="A16" s="84" t="s">
        <v>332</v>
      </c>
      <c r="B16" s="216">
        <v>1082681</v>
      </c>
      <c r="C16" s="61">
        <f>B16/B45</f>
        <v>1.0112681269863835E-2</v>
      </c>
    </row>
    <row r="17" spans="1:5" x14ac:dyDescent="0.45">
      <c r="A17" s="84" t="s">
        <v>81</v>
      </c>
      <c r="B17" s="85">
        <v>4849968</v>
      </c>
      <c r="C17" s="61">
        <f>B17/B45</f>
        <v>4.5300675409505629E-2</v>
      </c>
    </row>
    <row r="18" spans="1:5" x14ac:dyDescent="0.45">
      <c r="A18" s="84" t="s">
        <v>373</v>
      </c>
      <c r="B18" s="85">
        <v>189371</v>
      </c>
      <c r="C18" s="61">
        <f>B18/B45</f>
        <v>1.7688022277618102E-3</v>
      </c>
    </row>
    <row r="19" spans="1:5" x14ac:dyDescent="0.45">
      <c r="A19" s="84" t="s">
        <v>374</v>
      </c>
      <c r="B19" s="85">
        <v>5192293</v>
      </c>
      <c r="C19" s="61">
        <f>B19/B45</f>
        <v>4.8498130260663207E-2</v>
      </c>
    </row>
    <row r="20" spans="1:5" x14ac:dyDescent="0.45">
      <c r="A20" s="84" t="s">
        <v>375</v>
      </c>
      <c r="B20" s="85">
        <v>5865623</v>
      </c>
      <c r="C20" s="61">
        <f>B20/B45</f>
        <v>5.4787306554915545E-2</v>
      </c>
    </row>
    <row r="21" spans="1:5" x14ac:dyDescent="0.45">
      <c r="A21" s="84" t="s">
        <v>376</v>
      </c>
      <c r="B21" s="85">
        <v>6221263</v>
      </c>
      <c r="C21" s="61">
        <f>B21/B45</f>
        <v>5.8109128926245951E-2</v>
      </c>
    </row>
    <row r="22" spans="1:5" x14ac:dyDescent="0.45">
      <c r="A22" s="84" t="s">
        <v>377</v>
      </c>
      <c r="B22" s="85">
        <v>336289</v>
      </c>
      <c r="C22" s="61">
        <f>B22/B45</f>
        <v>3.1410761540668387E-3</v>
      </c>
    </row>
    <row r="23" spans="1:5" x14ac:dyDescent="0.45">
      <c r="A23" s="84" t="s">
        <v>378</v>
      </c>
      <c r="B23" s="85">
        <v>3968908</v>
      </c>
      <c r="C23" s="61">
        <f>B23/B45</f>
        <v>3.707121635404402E-2</v>
      </c>
    </row>
    <row r="24" spans="1:5" x14ac:dyDescent="0.45">
      <c r="A24" s="84" t="s">
        <v>379</v>
      </c>
      <c r="B24" s="85">
        <v>393252</v>
      </c>
      <c r="C24" s="61">
        <f>B24/B45</f>
        <v>3.6731337621483087E-3</v>
      </c>
    </row>
    <row r="25" spans="1:5" x14ac:dyDescent="0.45">
      <c r="A25" s="217" t="s">
        <v>380</v>
      </c>
      <c r="B25" s="26">
        <v>255062</v>
      </c>
      <c r="C25" s="61">
        <f>B25/B45</f>
        <v>2.3823829087736919E-3</v>
      </c>
      <c r="E25" s="26"/>
    </row>
    <row r="26" spans="1:5" x14ac:dyDescent="0.45">
      <c r="A26" s="84" t="s">
        <v>381</v>
      </c>
      <c r="B26" s="85">
        <v>577044</v>
      </c>
      <c r="C26" s="61">
        <f>B26/B45</f>
        <v>5.3898258588515975E-3</v>
      </c>
    </row>
    <row r="27" spans="1:5" x14ac:dyDescent="0.45">
      <c r="A27" s="84" t="s">
        <v>382</v>
      </c>
      <c r="B27" s="85">
        <v>185000</v>
      </c>
      <c r="C27" s="61">
        <f>B27/B45</f>
        <v>1.7279753084470952E-3</v>
      </c>
    </row>
    <row r="28" spans="1:5" x14ac:dyDescent="0.45">
      <c r="A28" s="84" t="s">
        <v>319</v>
      </c>
      <c r="B28" s="85">
        <v>8485007</v>
      </c>
      <c r="C28" s="61">
        <f>B28/B45</f>
        <v>7.925341939459872E-2</v>
      </c>
    </row>
    <row r="29" spans="1:5" x14ac:dyDescent="0.45">
      <c r="A29" s="84" t="s">
        <v>383</v>
      </c>
      <c r="B29" s="85">
        <v>11946476</v>
      </c>
      <c r="C29" s="61">
        <f>B29/B45</f>
        <v>0.11158494892408552</v>
      </c>
    </row>
    <row r="30" spans="1:5" x14ac:dyDescent="0.45">
      <c r="A30" s="84" t="s">
        <v>384</v>
      </c>
      <c r="B30" s="85">
        <v>160000</v>
      </c>
      <c r="C30" s="61">
        <f>B30/B45</f>
        <v>1.4944651316299202E-3</v>
      </c>
    </row>
    <row r="31" spans="1:5" x14ac:dyDescent="0.45">
      <c r="A31" s="84" t="s">
        <v>113</v>
      </c>
      <c r="B31" s="85">
        <v>936310</v>
      </c>
      <c r="C31" s="61">
        <f>B31/B45</f>
        <v>8.7455165462275667E-3</v>
      </c>
    </row>
    <row r="32" spans="1:5" x14ac:dyDescent="0.45">
      <c r="A32" s="84" t="s">
        <v>323</v>
      </c>
      <c r="B32" s="85">
        <v>238767</v>
      </c>
      <c r="C32" s="61">
        <f>B32/B45</f>
        <v>2.2301809755242573E-3</v>
      </c>
    </row>
    <row r="33" spans="1:6" x14ac:dyDescent="0.45">
      <c r="A33" s="84" t="s">
        <v>385</v>
      </c>
      <c r="B33" s="85">
        <v>890231</v>
      </c>
      <c r="C33" s="61">
        <f>B33/B45</f>
        <v>8.315119928725221E-3</v>
      </c>
    </row>
    <row r="34" spans="1:6" x14ac:dyDescent="0.45">
      <c r="A34" s="84" t="s">
        <v>386</v>
      </c>
      <c r="B34" s="85">
        <v>416640</v>
      </c>
      <c r="C34" s="61">
        <f>B34/B45</f>
        <v>3.891587202764312E-3</v>
      </c>
      <c r="F34" s="62"/>
    </row>
    <row r="35" spans="1:6" x14ac:dyDescent="0.45">
      <c r="A35" s="84" t="s">
        <v>38</v>
      </c>
      <c r="B35" s="85">
        <v>5730906</v>
      </c>
      <c r="C35" s="61">
        <f>B35/B45</f>
        <v>5.3528994935304372E-2</v>
      </c>
      <c r="F35" s="62"/>
    </row>
    <row r="36" spans="1:6" x14ac:dyDescent="0.45">
      <c r="A36" s="84" t="s">
        <v>387</v>
      </c>
      <c r="B36" s="85">
        <v>697391</v>
      </c>
      <c r="C36" s="61">
        <f>B36/B45</f>
        <v>6.5139158288282607E-3</v>
      </c>
      <c r="F36" s="62"/>
    </row>
    <row r="37" spans="1:6" x14ac:dyDescent="0.45">
      <c r="A37" s="84" t="s">
        <v>194</v>
      </c>
      <c r="B37" s="85"/>
      <c r="C37" s="61">
        <f>B37/B45</f>
        <v>0</v>
      </c>
      <c r="F37" s="62"/>
    </row>
    <row r="38" spans="1:6" x14ac:dyDescent="0.45">
      <c r="A38" s="84" t="s">
        <v>361</v>
      </c>
      <c r="B38" s="85">
        <v>2163635</v>
      </c>
      <c r="C38" s="61">
        <f>B38/B45</f>
        <v>2.020923165671314E-2</v>
      </c>
      <c r="F38" s="62"/>
    </row>
    <row r="39" spans="1:6" x14ac:dyDescent="0.45">
      <c r="A39" s="84" t="s">
        <v>39</v>
      </c>
      <c r="B39" s="85">
        <v>2546735</v>
      </c>
      <c r="C39" s="61">
        <f>B39/B45</f>
        <v>2.3787541606259531E-2</v>
      </c>
      <c r="F39" s="62"/>
    </row>
    <row r="40" spans="1:6" x14ac:dyDescent="0.45">
      <c r="A40" s="84" t="s">
        <v>41</v>
      </c>
      <c r="B40" s="85">
        <v>6613488</v>
      </c>
      <c r="C40" s="61">
        <f>B40/B45</f>
        <v>6.1772670090330613E-2</v>
      </c>
      <c r="F40" s="62"/>
    </row>
    <row r="41" spans="1:6" x14ac:dyDescent="0.45">
      <c r="A41" s="84" t="s">
        <v>388</v>
      </c>
      <c r="B41" s="85">
        <v>1422697</v>
      </c>
      <c r="C41" s="61">
        <f>B41/B45</f>
        <v>1.3288569121090579E-2</v>
      </c>
      <c r="F41" s="62"/>
    </row>
    <row r="42" spans="1:6" x14ac:dyDescent="0.45">
      <c r="A42" s="84" t="s">
        <v>56</v>
      </c>
      <c r="B42" s="85">
        <v>1708216</v>
      </c>
      <c r="C42" s="61">
        <f>B42/B45</f>
        <v>1.5955432808077097E-2</v>
      </c>
      <c r="F42" s="62"/>
    </row>
    <row r="43" spans="1:6" x14ac:dyDescent="0.45">
      <c r="A43" s="84" t="s">
        <v>42</v>
      </c>
      <c r="B43" s="85">
        <v>1998029</v>
      </c>
      <c r="C43" s="61">
        <f>B43/B45</f>
        <v>1.8662404203033736E-2</v>
      </c>
      <c r="F43" s="62"/>
    </row>
    <row r="44" spans="1:6" x14ac:dyDescent="0.45">
      <c r="A44" s="84" t="s">
        <v>44</v>
      </c>
      <c r="B44" s="85">
        <v>8000000</v>
      </c>
      <c r="C44" s="61">
        <f>B44/B45</f>
        <v>7.4723256581496006E-2</v>
      </c>
      <c r="F44" s="62"/>
    </row>
    <row r="45" spans="1:6" x14ac:dyDescent="0.45">
      <c r="A45" s="63" t="s">
        <v>389</v>
      </c>
      <c r="B45" s="81">
        <f>SUM(B5:B44)</f>
        <v>107061715</v>
      </c>
      <c r="C45" s="82">
        <f>SUM(C5:C44)</f>
        <v>1</v>
      </c>
    </row>
  </sheetData>
  <sortState xmlns:xlrd2="http://schemas.microsoft.com/office/spreadsheetml/2017/richdata2" ref="A5:A44">
    <sortCondition ref="A5:A44"/>
  </sortState>
  <mergeCells count="3">
    <mergeCell ref="A1:C1"/>
    <mergeCell ref="A2:A3"/>
    <mergeCell ref="B2:C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8571-3092-41CD-BA10-8D5C330CA778}">
  <sheetPr codeName="Hoja7"/>
  <dimension ref="A1:J11"/>
  <sheetViews>
    <sheetView zoomScale="110" zoomScaleNormal="110" workbookViewId="0">
      <selection activeCell="D16" sqref="D16"/>
    </sheetView>
  </sheetViews>
  <sheetFormatPr baseColWidth="10" defaultColWidth="11.3984375" defaultRowHeight="14.25" x14ac:dyDescent="0.45"/>
  <cols>
    <col min="1" max="1" width="3" customWidth="1"/>
    <col min="2" max="2" width="17.73046875" customWidth="1"/>
    <col min="3" max="3" width="15" customWidth="1"/>
    <col min="4" max="4" width="38.265625" customWidth="1"/>
    <col min="5" max="5" width="19.265625" customWidth="1"/>
    <col min="6" max="6" width="13.265625" customWidth="1"/>
    <col min="7" max="7" width="13.73046875" customWidth="1"/>
    <col min="8" max="8" width="9.59765625" customWidth="1"/>
  </cols>
  <sheetData>
    <row r="1" spans="1:10" s="20" customFormat="1" ht="21.75" x14ac:dyDescent="0.45">
      <c r="A1" s="27"/>
      <c r="B1" s="234" t="s">
        <v>0</v>
      </c>
      <c r="C1" s="234"/>
      <c r="D1" s="234"/>
      <c r="E1" s="234"/>
      <c r="F1" s="234"/>
      <c r="G1" s="234"/>
      <c r="H1" s="234"/>
      <c r="I1" s="27"/>
      <c r="J1" s="27"/>
    </row>
    <row r="2" spans="1:10" s="20" customFormat="1" ht="15.75" customHeight="1" x14ac:dyDescent="0.45">
      <c r="A2" s="27"/>
      <c r="B2" s="238" t="s">
        <v>390</v>
      </c>
      <c r="C2" s="238"/>
      <c r="D2" s="238"/>
      <c r="E2" s="238"/>
      <c r="F2" s="238"/>
      <c r="G2" s="238"/>
      <c r="H2" s="238"/>
      <c r="I2" s="27"/>
      <c r="J2" s="27"/>
    </row>
    <row r="3" spans="1:10" s="1" customFormat="1" ht="13.15" x14ac:dyDescent="0.35">
      <c r="A3" s="30"/>
      <c r="B3" s="64" t="s">
        <v>298</v>
      </c>
      <c r="C3" s="22" t="s">
        <v>391</v>
      </c>
      <c r="D3" s="22" t="s">
        <v>301</v>
      </c>
      <c r="E3" s="22" t="s">
        <v>392</v>
      </c>
      <c r="F3" s="22" t="s">
        <v>304</v>
      </c>
      <c r="G3" s="22" t="s">
        <v>305</v>
      </c>
      <c r="H3" s="22" t="s">
        <v>393</v>
      </c>
    </row>
    <row r="4" spans="1:10" s="15" customFormat="1" ht="13.15" x14ac:dyDescent="0.45">
      <c r="A4" s="76"/>
      <c r="B4" s="245"/>
      <c r="C4" s="245"/>
      <c r="D4" s="245"/>
      <c r="E4" s="245"/>
      <c r="F4" s="245"/>
      <c r="G4" s="245"/>
      <c r="H4" s="245"/>
      <c r="I4" s="27"/>
      <c r="J4" s="27"/>
    </row>
    <row r="5" spans="1:10" s="11" customFormat="1" ht="13.15" x14ac:dyDescent="0.35">
      <c r="A5" s="86">
        <v>1</v>
      </c>
      <c r="B5" s="71" t="s">
        <v>66</v>
      </c>
      <c r="C5" s="73" t="s">
        <v>56</v>
      </c>
      <c r="D5" s="73" t="s">
        <v>295</v>
      </c>
      <c r="E5" s="73" t="s">
        <v>395</v>
      </c>
      <c r="F5" s="72">
        <f t="shared" ref="F5:F9" si="0">G5/10.764</f>
        <v>19434.039390561131</v>
      </c>
      <c r="G5" s="72">
        <v>209188</v>
      </c>
      <c r="H5" s="65" t="s">
        <v>213</v>
      </c>
    </row>
    <row r="6" spans="1:10" s="11" customFormat="1" ht="13.15" x14ac:dyDescent="0.35">
      <c r="A6" s="86">
        <v>3</v>
      </c>
      <c r="B6" s="71" t="s">
        <v>20</v>
      </c>
      <c r="C6" s="73" t="s">
        <v>103</v>
      </c>
      <c r="D6" s="73" t="s">
        <v>102</v>
      </c>
      <c r="E6" s="73" t="s">
        <v>398</v>
      </c>
      <c r="F6" s="72">
        <f t="shared" si="0"/>
        <v>12172.891118543293</v>
      </c>
      <c r="G6" s="72">
        <v>131029</v>
      </c>
      <c r="H6" s="130" t="s">
        <v>219</v>
      </c>
    </row>
    <row r="7" spans="1:10" s="11" customFormat="1" ht="13.15" x14ac:dyDescent="0.35">
      <c r="A7" s="86">
        <v>4</v>
      </c>
      <c r="B7" s="71" t="s">
        <v>20</v>
      </c>
      <c r="C7" s="73" t="s">
        <v>103</v>
      </c>
      <c r="D7" s="73" t="s">
        <v>102</v>
      </c>
      <c r="E7" s="73" t="s">
        <v>399</v>
      </c>
      <c r="F7" s="72">
        <f t="shared" si="0"/>
        <v>14105.908584169454</v>
      </c>
      <c r="G7" s="72">
        <v>151836</v>
      </c>
      <c r="H7" s="130" t="s">
        <v>219</v>
      </c>
    </row>
    <row r="8" spans="1:10" s="11" customFormat="1" ht="13.15" x14ac:dyDescent="0.35">
      <c r="A8" s="86">
        <v>5</v>
      </c>
      <c r="B8" s="71" t="s">
        <v>20</v>
      </c>
      <c r="C8" s="73" t="s">
        <v>74</v>
      </c>
      <c r="D8" s="73" t="s">
        <v>365</v>
      </c>
      <c r="E8" s="73" t="s">
        <v>294</v>
      </c>
      <c r="F8" s="72">
        <f t="shared" si="0"/>
        <v>22251.765143069493</v>
      </c>
      <c r="G8" s="72">
        <v>239518</v>
      </c>
      <c r="H8" s="130" t="s">
        <v>219</v>
      </c>
    </row>
    <row r="9" spans="1:10" s="11" customFormat="1" ht="13.15" x14ac:dyDescent="0.35">
      <c r="A9" s="86">
        <v>6</v>
      </c>
      <c r="B9" s="71" t="s">
        <v>20</v>
      </c>
      <c r="C9" s="73" t="s">
        <v>217</v>
      </c>
      <c r="D9" s="73" t="s">
        <v>216</v>
      </c>
      <c r="E9" s="73" t="s">
        <v>266</v>
      </c>
      <c r="F9" s="72">
        <f t="shared" si="0"/>
        <v>10219.89966555184</v>
      </c>
      <c r="G9" s="72">
        <v>110007</v>
      </c>
      <c r="H9" s="130" t="s">
        <v>219</v>
      </c>
    </row>
    <row r="10" spans="1:10" s="11" customFormat="1" ht="13.15" x14ac:dyDescent="0.35">
      <c r="A10" s="86">
        <v>7</v>
      </c>
      <c r="B10" s="71" t="s">
        <v>86</v>
      </c>
      <c r="C10" s="73" t="s">
        <v>319</v>
      </c>
      <c r="D10" s="73" t="s">
        <v>312</v>
      </c>
      <c r="E10" s="73" t="s">
        <v>400</v>
      </c>
      <c r="F10" s="72">
        <f>G10/10.764</f>
        <v>19000</v>
      </c>
      <c r="G10" s="72">
        <v>204516</v>
      </c>
      <c r="H10" s="130" t="s">
        <v>219</v>
      </c>
    </row>
    <row r="11" spans="1:10" s="44" customFormat="1" ht="17.25" x14ac:dyDescent="0.45">
      <c r="A11" s="66"/>
      <c r="B11" s="56"/>
      <c r="C11" s="56"/>
      <c r="D11" s="57"/>
      <c r="E11" s="57" t="s">
        <v>88</v>
      </c>
      <c r="F11" s="58">
        <f>SUM(F5:F10)</f>
        <v>97184.503901895208</v>
      </c>
      <c r="G11" s="58">
        <f>SUM(G5:G10)</f>
        <v>1046094</v>
      </c>
      <c r="H11" s="67"/>
      <c r="I11" s="43"/>
      <c r="J11" s="43"/>
    </row>
  </sheetData>
  <mergeCells count="3">
    <mergeCell ref="B1:H1"/>
    <mergeCell ref="B2:H2"/>
    <mergeCell ref="B4:H4"/>
  </mergeCells>
  <pageMargins left="0.70866141732283472" right="0.70866141732283472" top="0.74803149606299213" bottom="0.74803149606299213" header="0.31496062992125984" footer="0.31496062992125984"/>
  <pageSetup paperSize="1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D6A72E992D114C81A6EC0B8C99BA69" ma:contentTypeVersion="15" ma:contentTypeDescription="Crear nuevo documento." ma:contentTypeScope="" ma:versionID="09ee94784c981be3323ac3fbeddfff7d">
  <xsd:schema xmlns:xsd="http://www.w3.org/2001/XMLSchema" xmlns:xs="http://www.w3.org/2001/XMLSchema" xmlns:p="http://schemas.microsoft.com/office/2006/metadata/properties" xmlns:ns2="3edea6fe-52b8-4667-bb86-b2155c8c67e6" xmlns:ns3="7952995f-2f24-4935-944c-2e29180cf736" xmlns:ns4="16b13a6f-7497-445e-a153-7e63321f2fc2" targetNamespace="http://schemas.microsoft.com/office/2006/metadata/properties" ma:root="true" ma:fieldsID="5021330a093b1c5a1c61cacae0c5fad1" ns2:_="" ns3:_="" ns4:_="">
    <xsd:import namespace="3edea6fe-52b8-4667-bb86-b2155c8c67e6"/>
    <xsd:import namespace="7952995f-2f24-4935-944c-2e29180cf736"/>
    <xsd:import namespace="16b13a6f-7497-445e-a153-7e63321f2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ea6fe-52b8-4667-bb86-b2155c8c67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c01750-6c40-40dc-ac3d-8fd2a3d7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995f-2f24-4935-944c-2e29180cf73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359de30-0ff1-469a-a8f1-5b30aa49166a}" ma:internalName="TaxCatchAll" ma:showField="CatchAllData" ma:web="7952995f-2f24-4935-944c-2e29180cf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13a6f-7497-445e-a153-7e63321f2fc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ea6fe-52b8-4667-bb86-b2155c8c67e6">
      <Terms xmlns="http://schemas.microsoft.com/office/infopath/2007/PartnerControls"/>
    </lcf76f155ced4ddcb4097134ff3c332f>
    <TaxCatchAll xmlns="7952995f-2f24-4935-944c-2e29180cf736" xsi:nil="true"/>
    <SharedWithUsers xmlns="16b13a6f-7497-445e-a153-7e63321f2fc2">
      <UserInfo>
        <DisplayName>Claudia Hernandez</DisplayName>
        <AccountId>260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55C906D-A183-4E05-80F8-0CE134B11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ea6fe-52b8-4667-bb86-b2155c8c67e6"/>
    <ds:schemaRef ds:uri="7952995f-2f24-4935-944c-2e29180cf736"/>
    <ds:schemaRef ds:uri="16b13a6f-7497-445e-a153-7e63321f2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729921-73BA-4051-BB08-70876181A4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79F4E2-1ACA-484F-A7C5-313A7F15004D}">
  <ds:schemaRefs>
    <ds:schemaRef ds:uri="http://schemas.microsoft.com/office/2006/metadata/properties"/>
    <ds:schemaRef ds:uri="http://schemas.microsoft.com/office/infopath/2007/PartnerControls"/>
    <ds:schemaRef ds:uri="3edea6fe-52b8-4667-bb86-b2155c8c67e6"/>
    <ds:schemaRef ds:uri="7952995f-2f24-4935-944c-2e29180cf736"/>
    <ds:schemaRef ds:uri="16b13a6f-7497-445e-a153-7e63321f2f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DONE DEALS</vt:lpstr>
      <vt:lpstr>AVAILABLE</vt:lpstr>
      <vt:lpstr>UNDERCONSTRUCTION</vt:lpstr>
      <vt:lpstr>PRIVATE OWNERS</vt:lpstr>
      <vt:lpstr>LAND</vt:lpstr>
      <vt:lpstr>MARKET SHARE</vt:lpstr>
      <vt:lpstr>PROYECTOS FUTUROS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Enríquez Guajardo</dc:creator>
  <cp:keywords/>
  <dc:description/>
  <cp:lastModifiedBy>Alejandra Enríquez Guajardo</cp:lastModifiedBy>
  <cp:revision/>
  <cp:lastPrinted>2024-12-19T16:58:17Z</cp:lastPrinted>
  <dcterms:created xsi:type="dcterms:W3CDTF">2019-02-20T18:21:22Z</dcterms:created>
  <dcterms:modified xsi:type="dcterms:W3CDTF">2025-04-03T16:55:57Z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0x010100F6D6A72E992D114C81A6EC0B8C99BA69</vt:lpwstr>
  </property>
  <property fmtid="{D5CDD505-2E9C-101B-9397-08002B2CF9AE}" pid="3" name="MediaServiceImageTags">
    <vt:lpwstr/>
  </property>
</Properties>
</file>