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pamericas.sharepoint.com/sites/WorkSpaces/marketing/Market Reports/2022/"/>
    </mc:Choice>
  </mc:AlternateContent>
  <xr:revisionPtr revIDLastSave="811" documentId="8_{075A44B7-F30C-4D2F-92AF-2750BA80F8D0}" xr6:coauthVersionLast="47" xr6:coauthVersionMax="47" xr10:uidLastSave="{4E9C928E-682B-42D4-8ABF-384500460FA8}"/>
  <bookViews>
    <workbookView xWindow="-98" yWindow="-98" windowWidth="20715" windowHeight="13155" xr2:uid="{F63D63A3-C3F9-422B-B0B0-119FB5C22E0B}"/>
  </bookViews>
  <sheets>
    <sheet name="DONE DEALS" sheetId="8" r:id="rId1"/>
    <sheet name="AVAILABLE" sheetId="2" r:id="rId2"/>
    <sheet name="UNDERCONSTRUCTION" sheetId="3" r:id="rId3"/>
    <sheet name="PRIVATE OWNERS" sheetId="4" r:id="rId4"/>
    <sheet name="LAND" sheetId="5" r:id="rId5"/>
    <sheet name="MARKET SHARE" sheetId="6" r:id="rId6"/>
    <sheet name="PROYECTOS FUTUROS" sheetId="7" r:id="rId7"/>
  </sheets>
  <definedNames>
    <definedName name="_xlnm._FilterDatabase" localSheetId="1" hidden="1">AVAILABLE!$A$4:$K$51</definedName>
    <definedName name="_xlnm._FilterDatabase" localSheetId="0" hidden="1">'DONE DEALS'!$A$4:$P$127</definedName>
    <definedName name="_xlnm._FilterDatabase" localSheetId="2" hidden="1">UNDERCONSTRUCTION!$A$4:$I$28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8" l="1"/>
  <c r="G123" i="8"/>
  <c r="G106" i="8"/>
  <c r="G88" i="8"/>
  <c r="G66" i="8"/>
  <c r="G59" i="8"/>
  <c r="G52" i="8"/>
  <c r="F99" i="8"/>
  <c r="F98" i="8"/>
  <c r="F97" i="8"/>
  <c r="F78" i="8" l="1"/>
  <c r="F118" i="8"/>
  <c r="F117" i="8"/>
  <c r="F45" i="8" l="1"/>
  <c r="F44" i="8"/>
  <c r="F38" i="8"/>
  <c r="F87" i="8" l="1"/>
  <c r="F122" i="8"/>
  <c r="F50" i="8"/>
  <c r="F51" i="8"/>
  <c r="F26" i="8"/>
  <c r="F7" i="8"/>
  <c r="F41" i="2"/>
  <c r="I42" i="2"/>
  <c r="G41" i="2"/>
  <c r="F58" i="8"/>
  <c r="F25" i="8"/>
  <c r="F56" i="8"/>
  <c r="F49" i="8"/>
  <c r="F33" i="8"/>
  <c r="F32" i="8"/>
  <c r="F11" i="8"/>
  <c r="F10" i="8"/>
  <c r="F24" i="8"/>
  <c r="G20" i="4" l="1"/>
  <c r="H20" i="4"/>
  <c r="G19" i="4"/>
  <c r="F6" i="8"/>
  <c r="F16" i="3"/>
  <c r="F84" i="8" l="1"/>
  <c r="I47" i="2" l="1"/>
  <c r="F112" i="8"/>
  <c r="F55" i="8"/>
  <c r="F8" i="8" l="1"/>
  <c r="F9" i="8"/>
  <c r="F12" i="8"/>
  <c r="F13" i="8"/>
  <c r="F14" i="8"/>
  <c r="F15" i="8"/>
  <c r="F16" i="8"/>
  <c r="F17" i="8"/>
  <c r="F18" i="8"/>
  <c r="F19" i="8"/>
  <c r="F20" i="8"/>
  <c r="F21" i="8"/>
  <c r="F22" i="8"/>
  <c r="F23" i="8"/>
  <c r="F27" i="8"/>
  <c r="F28" i="8"/>
  <c r="F29" i="8"/>
  <c r="F30" i="8"/>
  <c r="F31" i="8"/>
  <c r="F34" i="8"/>
  <c r="F35" i="8"/>
  <c r="F36" i="8"/>
  <c r="F37" i="8"/>
  <c r="F39" i="8"/>
  <c r="F40" i="8"/>
  <c r="F41" i="8"/>
  <c r="F42" i="8"/>
  <c r="F43" i="8"/>
  <c r="F46" i="8"/>
  <c r="F47" i="8"/>
  <c r="F48" i="8"/>
  <c r="F54" i="8"/>
  <c r="F59" i="8" s="1"/>
  <c r="F57" i="8"/>
  <c r="F61" i="8"/>
  <c r="F62" i="8"/>
  <c r="F63" i="8"/>
  <c r="F64" i="8"/>
  <c r="F65" i="8"/>
  <c r="F69" i="8"/>
  <c r="G69" i="8"/>
  <c r="G127" i="8" s="1"/>
  <c r="F71" i="8"/>
  <c r="F72" i="8"/>
  <c r="F73" i="8"/>
  <c r="F74" i="8"/>
  <c r="F75" i="8"/>
  <c r="F76" i="8"/>
  <c r="F77" i="8"/>
  <c r="F79" i="8"/>
  <c r="F80" i="8"/>
  <c r="F81" i="8"/>
  <c r="F82" i="8"/>
  <c r="F83" i="8"/>
  <c r="F85" i="8"/>
  <c r="F86" i="8"/>
  <c r="F90" i="8"/>
  <c r="F91" i="8"/>
  <c r="F92" i="8"/>
  <c r="F93" i="8"/>
  <c r="F94" i="8"/>
  <c r="F95" i="8"/>
  <c r="F96" i="8"/>
  <c r="F100" i="8"/>
  <c r="F101" i="8"/>
  <c r="F102" i="8"/>
  <c r="F103" i="8"/>
  <c r="F105" i="8"/>
  <c r="F108" i="8"/>
  <c r="F109" i="8" s="1"/>
  <c r="G109" i="8"/>
  <c r="F111" i="8"/>
  <c r="F113" i="8"/>
  <c r="F114" i="8"/>
  <c r="F115" i="8"/>
  <c r="F116" i="8"/>
  <c r="F119" i="8"/>
  <c r="F120" i="8"/>
  <c r="F121" i="8"/>
  <c r="F126" i="8"/>
  <c r="G126" i="8"/>
  <c r="F123" i="8" l="1"/>
  <c r="F66" i="8"/>
  <c r="F106" i="8"/>
  <c r="F88" i="8"/>
  <c r="F52" i="8"/>
  <c r="F127" i="8" s="1"/>
  <c r="I18" i="2"/>
  <c r="G46" i="3" l="1"/>
  <c r="G43" i="3"/>
  <c r="G27" i="3"/>
  <c r="G23" i="3"/>
  <c r="G18" i="3"/>
  <c r="F20" i="3" l="1"/>
  <c r="I31" i="2"/>
  <c r="F30" i="2"/>
  <c r="G30" i="2"/>
  <c r="G18" i="4"/>
  <c r="F20" i="4"/>
  <c r="F46" i="2" l="1"/>
  <c r="G46" i="2"/>
  <c r="F40" i="2"/>
  <c r="G40" i="2"/>
  <c r="F7" i="3" l="1"/>
  <c r="F41" i="3" l="1"/>
  <c r="F14" i="3" l="1"/>
  <c r="F17" i="3" l="1"/>
  <c r="I24" i="2" l="1"/>
  <c r="F16" i="2" l="1"/>
  <c r="G16" i="2"/>
  <c r="F42" i="3"/>
  <c r="I27" i="2" l="1"/>
  <c r="F13" i="3" l="1"/>
  <c r="F20" i="2"/>
  <c r="G20" i="2"/>
  <c r="I50" i="2"/>
  <c r="F11" i="3" l="1"/>
  <c r="F21" i="3"/>
  <c r="F12" i="3" l="1"/>
  <c r="G12" i="4"/>
  <c r="G5" i="4" l="1"/>
  <c r="F10" i="3"/>
  <c r="F6" i="3" l="1"/>
  <c r="F17" i="2"/>
  <c r="G17" i="2"/>
  <c r="G7" i="4" l="1"/>
  <c r="F26" i="3" l="1"/>
  <c r="F25" i="3" l="1"/>
  <c r="F27" i="3" s="1"/>
  <c r="F22" i="3" l="1"/>
  <c r="F23" i="3" s="1"/>
  <c r="F15" i="3"/>
  <c r="F7" i="2" l="1"/>
  <c r="G7" i="2"/>
  <c r="G9" i="2"/>
  <c r="F9" i="2"/>
  <c r="F8" i="2"/>
  <c r="G8" i="2"/>
  <c r="G23" i="2" l="1"/>
  <c r="F23" i="2"/>
  <c r="F8" i="3" l="1"/>
  <c r="F18" i="3" s="1"/>
  <c r="F43" i="3" l="1"/>
  <c r="F44" i="2" l="1"/>
  <c r="G44" i="2"/>
  <c r="F29" i="2" l="1"/>
  <c r="G29" i="2"/>
  <c r="G15" i="2" l="1"/>
  <c r="F15" i="2"/>
  <c r="F12" i="2" l="1"/>
  <c r="G12" i="2" l="1"/>
  <c r="G11" i="2"/>
  <c r="F11" i="2"/>
  <c r="G10" i="7"/>
  <c r="B43" i="6" l="1"/>
  <c r="C6" i="6" s="1"/>
  <c r="C36" i="6" l="1"/>
  <c r="C9" i="6"/>
  <c r="C23" i="6"/>
  <c r="C10" i="6"/>
  <c r="C14" i="6"/>
  <c r="C15" i="6"/>
  <c r="C38" i="6"/>
  <c r="C37" i="6"/>
  <c r="C12" i="6"/>
  <c r="C42" i="6"/>
  <c r="C34" i="6"/>
  <c r="C33" i="6"/>
  <c r="C35" i="6"/>
  <c r="C7" i="6"/>
  <c r="C5" i="6"/>
  <c r="C8" i="6"/>
  <c r="C21" i="6"/>
  <c r="C26" i="6"/>
  <c r="C41" i="6"/>
  <c r="C27" i="6"/>
  <c r="C40" i="6"/>
  <c r="C17" i="6"/>
  <c r="C31" i="6"/>
  <c r="C30" i="6"/>
  <c r="C28" i="6"/>
  <c r="C16" i="6"/>
  <c r="C13" i="6"/>
  <c r="C18" i="6"/>
  <c r="C19" i="6"/>
  <c r="C20" i="6"/>
  <c r="C22" i="6"/>
  <c r="C24" i="6"/>
  <c r="C25" i="6"/>
  <c r="C32" i="6"/>
  <c r="C11" i="6"/>
  <c r="C29" i="6"/>
  <c r="C39" i="6"/>
  <c r="C43" i="6" l="1"/>
  <c r="F46" i="3" l="1"/>
  <c r="G14" i="2" l="1"/>
  <c r="F14" i="2"/>
  <c r="G13" i="2"/>
  <c r="F13" i="2"/>
  <c r="G26" i="2" l="1"/>
  <c r="F26" i="2"/>
  <c r="G30" i="3" l="1"/>
  <c r="I37" i="2" l="1"/>
  <c r="G39" i="3" l="1"/>
  <c r="F39" i="3"/>
  <c r="G36" i="3"/>
  <c r="F36" i="3"/>
  <c r="G33" i="3"/>
  <c r="F33" i="3"/>
  <c r="F30" i="3"/>
  <c r="G45" i="2"/>
  <c r="F45" i="2"/>
  <c r="G39" i="2"/>
  <c r="F39" i="2"/>
  <c r="I34" i="2"/>
  <c r="I51" i="2" s="1"/>
  <c r="G22" i="2"/>
  <c r="F22" i="2"/>
  <c r="G21" i="2"/>
  <c r="F21" i="2"/>
  <c r="G10" i="2"/>
  <c r="F10" i="2"/>
  <c r="G6" i="2"/>
  <c r="F6" i="2"/>
  <c r="G47" i="3" l="1"/>
  <c r="F47" i="3"/>
  <c r="H8" i="7" l="1"/>
  <c r="H7" i="7"/>
  <c r="H6" i="7"/>
  <c r="H5" i="7"/>
  <c r="H10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Hernandez</author>
  </authors>
  <commentList>
    <comment ref="L4" authorId="0" shapeId="0" xr:uid="{386B1E64-EEDA-44D2-9CC1-2E14BD62BAE6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Logistica
Distribucion
Manufactura
</t>
        </r>
      </text>
    </comment>
    <comment ref="M4" authorId="0" shapeId="0" xr:uid="{8CFEB239-08BC-4704-96B5-C586960F7200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Nuevo
Expansion
Relocalizacion
varias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Enríquez Guajardo</author>
    <author>Martha Alejandra Enríquez Guajardo</author>
  </authors>
  <commentList>
    <comment ref="I6" authorId="0" shapeId="0" xr:uid="{C2A22D88-C944-4B45-A657-75B3598BFC57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8,000 mts con Polytech</t>
        </r>
      </text>
    </comment>
    <comment ref="I26" authorId="0" shapeId="0" xr:uid="{344ED289-B272-433D-8020-394CB7240164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60,268 sf de IDL</t>
        </r>
      </text>
    </comment>
    <comment ref="I33" authorId="1" shapeId="0" xr:uid="{21A9DF70-0AF5-4A86-924E-45C1296304FE}">
      <text>
        <r>
          <rPr>
            <b/>
            <sz val="9"/>
            <color indexed="81"/>
            <rFont val="Tahoma"/>
            <family val="2"/>
          </rPr>
          <t>Martha Alejandra Enríquez Guajardo
Confidencial cerró 35,112 sf</t>
        </r>
      </text>
    </comment>
    <comment ref="I46" authorId="0" shapeId="0" xr:uid="{28B197DB-1BC8-49BC-9921-3D5048FF544F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5,600 sqm</t>
        </r>
      </text>
    </comment>
  </commentList>
</comments>
</file>

<file path=xl/sharedStrings.xml><?xml version="1.0" encoding="utf-8"?>
<sst xmlns="http://schemas.openxmlformats.org/spreadsheetml/2006/main" count="1875" uniqueCount="546">
  <si>
    <t>MONTERREY MARKET REPORT</t>
  </si>
  <si>
    <t>DONE DEALS 2022</t>
  </si>
  <si>
    <t>SUBMERCADO</t>
  </si>
  <si>
    <t>INQUILINO</t>
  </si>
  <si>
    <t>UBICACIÓN / PARQUE IND</t>
  </si>
  <si>
    <t>DUEÑO</t>
  </si>
  <si>
    <t>S.M.</t>
  </si>
  <si>
    <t>S.F.</t>
  </si>
  <si>
    <t>BTS/ INVENTORY</t>
  </si>
  <si>
    <t>CIERRE</t>
  </si>
  <si>
    <t>BROKER</t>
  </si>
  <si>
    <t>PLAZO</t>
  </si>
  <si>
    <t>TIPO DE NEGOCIO</t>
  </si>
  <si>
    <t>INFORMACION ADICIONAL</t>
  </si>
  <si>
    <t>NACIONALIDAD</t>
  </si>
  <si>
    <t>MONEDA</t>
  </si>
  <si>
    <t>CLASS</t>
  </si>
  <si>
    <t>APODACA</t>
  </si>
  <si>
    <t>Apodaca</t>
  </si>
  <si>
    <t>Nextgen</t>
  </si>
  <si>
    <t>American Industries Apodaca II</t>
  </si>
  <si>
    <t>American Industries</t>
  </si>
  <si>
    <t>Inventory I</t>
  </si>
  <si>
    <t>Nov</t>
  </si>
  <si>
    <t>Prodensa Select</t>
  </si>
  <si>
    <t>Manufactura</t>
  </si>
  <si>
    <t>Nuevo</t>
  </si>
  <si>
    <t>Americana</t>
  </si>
  <si>
    <t>DLLS</t>
  </si>
  <si>
    <t>A</t>
  </si>
  <si>
    <t>Gaim Regiomontana</t>
  </si>
  <si>
    <t>BTS</t>
  </si>
  <si>
    <t>Dic</t>
  </si>
  <si>
    <t>Cushman</t>
  </si>
  <si>
    <t>Confidencial</t>
  </si>
  <si>
    <t>Aros Parque Industrial</t>
  </si>
  <si>
    <t>Aros</t>
  </si>
  <si>
    <t>Spec V</t>
  </si>
  <si>
    <t>Ene</t>
  </si>
  <si>
    <t>Directo</t>
  </si>
  <si>
    <t>18 meses</t>
  </si>
  <si>
    <t>-</t>
  </si>
  <si>
    <t>B</t>
  </si>
  <si>
    <t>Plasman</t>
  </si>
  <si>
    <t>Avante Airport Industrial Park</t>
  </si>
  <si>
    <t>Avante</t>
  </si>
  <si>
    <t>AP02</t>
  </si>
  <si>
    <t>Jun</t>
  </si>
  <si>
    <t>Colliers</t>
  </si>
  <si>
    <t>Canadiense</t>
  </si>
  <si>
    <t>Polaris</t>
  </si>
  <si>
    <t>AP03</t>
  </si>
  <si>
    <t>Independiente</t>
  </si>
  <si>
    <t>Logístico</t>
  </si>
  <si>
    <t>Expansión</t>
  </si>
  <si>
    <t>Essentra Components</t>
  </si>
  <si>
    <t>Avante Apodaca Industrial Park</t>
  </si>
  <si>
    <t>AP06</t>
  </si>
  <si>
    <t>Inglesa</t>
  </si>
  <si>
    <t>Nidec</t>
  </si>
  <si>
    <t>Parque Industrial Milenium Aeropuerto</t>
  </si>
  <si>
    <t>Coexsa</t>
  </si>
  <si>
    <t>MAN 07</t>
  </si>
  <si>
    <t>Feb</t>
  </si>
  <si>
    <t>Sekai</t>
  </si>
  <si>
    <t>Milenium Agua Fría</t>
  </si>
  <si>
    <t>Nave 2</t>
  </si>
  <si>
    <t>Japonesa</t>
  </si>
  <si>
    <t>Methode</t>
  </si>
  <si>
    <t>MAN 02</t>
  </si>
  <si>
    <t>Jul</t>
  </si>
  <si>
    <t>MAN 08</t>
  </si>
  <si>
    <t>Bergstrom</t>
  </si>
  <si>
    <t>Apodaca Technology Park</t>
  </si>
  <si>
    <t>CPA</t>
  </si>
  <si>
    <t>ATP-B019</t>
  </si>
  <si>
    <t>Mar</t>
  </si>
  <si>
    <t>China</t>
  </si>
  <si>
    <t>DHL</t>
  </si>
  <si>
    <t>Davisa Industrial Park Apodaca</t>
  </si>
  <si>
    <t>Davisa</t>
  </si>
  <si>
    <t>Multi 2</t>
  </si>
  <si>
    <t>Sep</t>
  </si>
  <si>
    <t>Alemana</t>
  </si>
  <si>
    <t>LG</t>
  </si>
  <si>
    <t>Nexxus Apodaca</t>
  </si>
  <si>
    <t>Fibra Macquarie</t>
  </si>
  <si>
    <t>MTY-31</t>
  </si>
  <si>
    <t>Estate Capital</t>
  </si>
  <si>
    <t>Coreana</t>
  </si>
  <si>
    <t>Aspen Aerogel</t>
  </si>
  <si>
    <t>Finsa Monterrey</t>
  </si>
  <si>
    <t>MTY-005</t>
  </si>
  <si>
    <t>Abr</t>
  </si>
  <si>
    <t>Fibra Macquarie Apodaca</t>
  </si>
  <si>
    <t>MTY-042</t>
  </si>
  <si>
    <t>Ago</t>
  </si>
  <si>
    <t>TAC Solutions</t>
  </si>
  <si>
    <t>Gaanda Mini Park</t>
  </si>
  <si>
    <t>Gaanda</t>
  </si>
  <si>
    <t>Spec</t>
  </si>
  <si>
    <t>Citius AG</t>
  </si>
  <si>
    <t>Mexicana</t>
  </si>
  <si>
    <t>Tecconnex</t>
  </si>
  <si>
    <t>Milenium Apodaca</t>
  </si>
  <si>
    <t>Gaanda 3</t>
  </si>
  <si>
    <t>Reino Unido</t>
  </si>
  <si>
    <t>Prolec</t>
  </si>
  <si>
    <t>Kronos Industrial Park</t>
  </si>
  <si>
    <t>GP Desarrollos</t>
  </si>
  <si>
    <t>MT01 Kronos</t>
  </si>
  <si>
    <t>Ceva</t>
  </si>
  <si>
    <t>GP Pocket Park Aeropuerto</t>
  </si>
  <si>
    <t>MT01</t>
  </si>
  <si>
    <t>Europea</t>
  </si>
  <si>
    <t>Sungwoo</t>
  </si>
  <si>
    <t>Stand Alone</t>
  </si>
  <si>
    <t>Tempel</t>
  </si>
  <si>
    <t>Automotriz</t>
  </si>
  <si>
    <t>Española</t>
  </si>
  <si>
    <t>Danfoss</t>
  </si>
  <si>
    <t>GDS Industrial Park</t>
  </si>
  <si>
    <t>Luis Lauro</t>
  </si>
  <si>
    <t>Spec 1</t>
  </si>
  <si>
    <t>Citius AG / CBRE</t>
  </si>
  <si>
    <t>Dinamarca</t>
  </si>
  <si>
    <t>Corning</t>
  </si>
  <si>
    <t>Kalos Santa Rosa</t>
  </si>
  <si>
    <t>Kalos</t>
  </si>
  <si>
    <t>KAS 1, 1 al 8</t>
  </si>
  <si>
    <t>JLL</t>
  </si>
  <si>
    <t>Basal</t>
  </si>
  <si>
    <t>Kalos Miguel Aleman</t>
  </si>
  <si>
    <t>KMA 2</t>
  </si>
  <si>
    <t>MXP</t>
  </si>
  <si>
    <t>Dasza</t>
  </si>
  <si>
    <t>Kalos Apodaca</t>
  </si>
  <si>
    <t>KA Edificio 3 Sec. 11 y 12</t>
  </si>
  <si>
    <t>Ket Engineered</t>
  </si>
  <si>
    <t>Kronos</t>
  </si>
  <si>
    <t>Kronos 4</t>
  </si>
  <si>
    <t>MGM Asociados</t>
  </si>
  <si>
    <t>Mirage</t>
  </si>
  <si>
    <t>Hubs Industrial Park</t>
  </si>
  <si>
    <t>Meor</t>
  </si>
  <si>
    <t>Apodaca 01</t>
  </si>
  <si>
    <t>Citus AG</t>
  </si>
  <si>
    <t>Toyota</t>
  </si>
  <si>
    <t>Toro</t>
  </si>
  <si>
    <t>Prologis East</t>
  </si>
  <si>
    <t>Prologis</t>
  </si>
  <si>
    <t>Qualianz</t>
  </si>
  <si>
    <t>Savy Park V</t>
  </si>
  <si>
    <t>Savy Capital</t>
  </si>
  <si>
    <t>SPV-04</t>
  </si>
  <si>
    <t>Standard Register</t>
  </si>
  <si>
    <t>Savy Park I</t>
  </si>
  <si>
    <t>CBRE</t>
  </si>
  <si>
    <t>Seal Air</t>
  </si>
  <si>
    <t>SPV-03</t>
  </si>
  <si>
    <t>May</t>
  </si>
  <si>
    <t>Weida</t>
  </si>
  <si>
    <t>Stiva Aeropuerto</t>
  </si>
  <si>
    <t>Stiva</t>
  </si>
  <si>
    <t>OWH-1</t>
  </si>
  <si>
    <t>Nueva</t>
  </si>
  <si>
    <t>Senegence</t>
  </si>
  <si>
    <t>OWH-3.1C</t>
  </si>
  <si>
    <t>Reubicación</t>
  </si>
  <si>
    <t>Transpak</t>
  </si>
  <si>
    <t>OWH-3.1B</t>
  </si>
  <si>
    <t>Newmark</t>
  </si>
  <si>
    <t>Schneider Electric</t>
  </si>
  <si>
    <t>AE-INV-05</t>
  </si>
  <si>
    <t>Francesa</t>
  </si>
  <si>
    <t>JCI</t>
  </si>
  <si>
    <t>AE-INV-R6</t>
  </si>
  <si>
    <t>Trane Technologies</t>
  </si>
  <si>
    <t>AE-INV-R1</t>
  </si>
  <si>
    <t>Irlandesa</t>
  </si>
  <si>
    <t>AE-OWH1.3</t>
  </si>
  <si>
    <t>CF Moto</t>
  </si>
  <si>
    <t>Vynmsa Apodaca Industrial Park</t>
  </si>
  <si>
    <t>Vynmsa</t>
  </si>
  <si>
    <t>Spec A</t>
  </si>
  <si>
    <t>Spec D</t>
  </si>
  <si>
    <t>Cenntro</t>
  </si>
  <si>
    <t>OMA Vynmsa</t>
  </si>
  <si>
    <t>Spec IX</t>
  </si>
  <si>
    <t>REGS</t>
  </si>
  <si>
    <t>Almer</t>
  </si>
  <si>
    <t>CVA</t>
  </si>
  <si>
    <t>Spec X</t>
  </si>
  <si>
    <t>Zoomlion</t>
  </si>
  <si>
    <t>Spec B</t>
  </si>
  <si>
    <t>TOTAL Apodaca</t>
  </si>
  <si>
    <t>CIENEGA DE FLORES</t>
  </si>
  <si>
    <t>Cienega de Flores</t>
  </si>
  <si>
    <t>CPA Logisitcs Center ADN</t>
  </si>
  <si>
    <t>American Woodmark</t>
  </si>
  <si>
    <t>Yinlun</t>
  </si>
  <si>
    <t>Diamante Cienega de Flores II</t>
  </si>
  <si>
    <t>Fibra Monterrey</t>
  </si>
  <si>
    <t>Cienega 2</t>
  </si>
  <si>
    <t>Ryder Logistics</t>
  </si>
  <si>
    <t>Diamante Cienega de Flores I</t>
  </si>
  <si>
    <t>Tredec</t>
  </si>
  <si>
    <t>Edificio 5</t>
  </si>
  <si>
    <t>Nuevo / Expansión</t>
  </si>
  <si>
    <t>Recodeal</t>
  </si>
  <si>
    <t>Monterrey Technology Park</t>
  </si>
  <si>
    <t>Spec VII</t>
  </si>
  <si>
    <t>TOTAL Ciénega de Flores</t>
  </si>
  <si>
    <t>MONTERREY</t>
  </si>
  <si>
    <t>Monterrey</t>
  </si>
  <si>
    <t>Quanta</t>
  </si>
  <si>
    <t>Monterrey Industrial Park</t>
  </si>
  <si>
    <t>Roca Desarrollos</t>
  </si>
  <si>
    <t>M007A</t>
  </si>
  <si>
    <t>M003</t>
  </si>
  <si>
    <t>M002</t>
  </si>
  <si>
    <t>Xuzhou BUT</t>
  </si>
  <si>
    <t>GT Logistics</t>
  </si>
  <si>
    <t>TCC Properties</t>
  </si>
  <si>
    <t>TOTAL Monterrey</t>
  </si>
  <si>
    <t>SAN NICOLAS</t>
  </si>
  <si>
    <t>TOTAL San Nicolas</t>
  </si>
  <si>
    <t>ESCOBEDO</t>
  </si>
  <si>
    <t>Escobedo</t>
  </si>
  <si>
    <t>XCMG</t>
  </si>
  <si>
    <t>Nexxus Escobedo</t>
  </si>
  <si>
    <t>MTY037</t>
  </si>
  <si>
    <t>Precision Plating</t>
  </si>
  <si>
    <t>MTY035</t>
  </si>
  <si>
    <t>Accel</t>
  </si>
  <si>
    <t>MTY-025</t>
  </si>
  <si>
    <t>Dana</t>
  </si>
  <si>
    <t>GP Escobedo</t>
  </si>
  <si>
    <t>MT05</t>
  </si>
  <si>
    <t>Axionlog</t>
  </si>
  <si>
    <t>Argentina</t>
  </si>
  <si>
    <t>Bimbo</t>
  </si>
  <si>
    <t>GP Escobedo Pocket Park</t>
  </si>
  <si>
    <t>Barcel</t>
  </si>
  <si>
    <t>Henco</t>
  </si>
  <si>
    <t>IGS Escobedo Center</t>
  </si>
  <si>
    <t>IGS</t>
  </si>
  <si>
    <t>Escobedo II</t>
  </si>
  <si>
    <t>Celestica</t>
  </si>
  <si>
    <t>Escobedo I</t>
  </si>
  <si>
    <t>Parque Industrial Tecnocentro</t>
  </si>
  <si>
    <t>Parks</t>
  </si>
  <si>
    <t>Nave 2,3</t>
  </si>
  <si>
    <t>Channel Products</t>
  </si>
  <si>
    <t>Puerta del Norte Industrial Park</t>
  </si>
  <si>
    <t>Puerta del Norte</t>
  </si>
  <si>
    <t>Nave 2A</t>
  </si>
  <si>
    <t>Borets</t>
  </si>
  <si>
    <t>Stiva El Jaral</t>
  </si>
  <si>
    <t>JA INV-01</t>
  </si>
  <si>
    <t>Rusa</t>
  </si>
  <si>
    <t>Amazon</t>
  </si>
  <si>
    <t>Multiparque Escobedo</t>
  </si>
  <si>
    <t>USAA</t>
  </si>
  <si>
    <t>Branco Industries</t>
  </si>
  <si>
    <t>Vynmsa Escobedo Park II</t>
  </si>
  <si>
    <t>Spec VI</t>
  </si>
  <si>
    <t>Vitti Logistics</t>
  </si>
  <si>
    <t>KS Bienes Raices</t>
  </si>
  <si>
    <t>TOTAL Escobedo</t>
  </si>
  <si>
    <t>GUADALUPE</t>
  </si>
  <si>
    <t>Guadalupe</t>
  </si>
  <si>
    <t>KGP</t>
  </si>
  <si>
    <t>Areya Guadalupe Industrial Park</t>
  </si>
  <si>
    <t>Areya</t>
  </si>
  <si>
    <t>AG01</t>
  </si>
  <si>
    <t>DSBJ</t>
  </si>
  <si>
    <t>Finsa Guadalupe</t>
  </si>
  <si>
    <t>Fibra Uno</t>
  </si>
  <si>
    <t>XIII</t>
  </si>
  <si>
    <t>Yinlun LTD</t>
  </si>
  <si>
    <t>Finsa</t>
  </si>
  <si>
    <t>HL4</t>
  </si>
  <si>
    <t>Almacen</t>
  </si>
  <si>
    <t>Woodsage</t>
  </si>
  <si>
    <t>Horacio Lozano</t>
  </si>
  <si>
    <t>HL5</t>
  </si>
  <si>
    <t xml:space="preserve">Tenere </t>
  </si>
  <si>
    <t>GP Pocket Park Oriente</t>
  </si>
  <si>
    <t>Living Spaces</t>
  </si>
  <si>
    <t>MT03</t>
  </si>
  <si>
    <t>NAI</t>
  </si>
  <si>
    <t>BTS (MT04)</t>
  </si>
  <si>
    <t>Kalos Guadalupe</t>
  </si>
  <si>
    <t>KG 25 Sec. 4b, 5 y 6</t>
  </si>
  <si>
    <t>KG 17 Sec. 2</t>
  </si>
  <si>
    <t>KG 12 Sec.2</t>
  </si>
  <si>
    <t>Fluidmaster</t>
  </si>
  <si>
    <t>Nexxus Guadalupe</t>
  </si>
  <si>
    <t>Nexxus</t>
  </si>
  <si>
    <t>SMT</t>
  </si>
  <si>
    <t>Conekta Business Park</t>
  </si>
  <si>
    <t>Particular</t>
  </si>
  <si>
    <t>Spec 13-35</t>
  </si>
  <si>
    <t>Mueller Industries</t>
  </si>
  <si>
    <t>Vesta Park Guadalupe</t>
  </si>
  <si>
    <t>Vesta</t>
  </si>
  <si>
    <t>VPGPE-02</t>
  </si>
  <si>
    <t>Oxxo</t>
  </si>
  <si>
    <t>360 Properties</t>
  </si>
  <si>
    <t>Lakeland</t>
  </si>
  <si>
    <t>Vynmsa Acueducto Industrial Park</t>
  </si>
  <si>
    <t>TOTAL Guadalpue</t>
  </si>
  <si>
    <t>PESQUERIA</t>
  </si>
  <si>
    <t>Pesquería</t>
  </si>
  <si>
    <t>Dometic</t>
  </si>
  <si>
    <t>Cardinal Business Park</t>
  </si>
  <si>
    <t>Robertson Industries</t>
  </si>
  <si>
    <t>N2</t>
  </si>
  <si>
    <t>TOTAL Pesquería</t>
  </si>
  <si>
    <t>Total Pesqueria</t>
  </si>
  <si>
    <t>SANTA CATARINA</t>
  </si>
  <si>
    <t>Santa Catarina</t>
  </si>
  <si>
    <t>Libus</t>
  </si>
  <si>
    <t>Milenium Santa Catarina</t>
  </si>
  <si>
    <t>MSC N5</t>
  </si>
  <si>
    <t>Moss Technology</t>
  </si>
  <si>
    <t>MTY028</t>
  </si>
  <si>
    <t>Criotec</t>
  </si>
  <si>
    <t>Finsa Santa Catarina II</t>
  </si>
  <si>
    <t>Nave 1</t>
  </si>
  <si>
    <t>Advance Industrial Park</t>
  </si>
  <si>
    <t>Spec 3</t>
  </si>
  <si>
    <t>Genesis</t>
  </si>
  <si>
    <t>Parque Industrial El Obispo Phase II</t>
  </si>
  <si>
    <t>Obsipo II</t>
  </si>
  <si>
    <t>John Deere</t>
  </si>
  <si>
    <t>Stiva Santa Catarina</t>
  </si>
  <si>
    <t>INV-SC-02B / 2C</t>
  </si>
  <si>
    <t>Daewon Chemical</t>
  </si>
  <si>
    <t>Stiva García Industrial Park</t>
  </si>
  <si>
    <t>Carvajal Empaques</t>
  </si>
  <si>
    <t>Colombiana</t>
  </si>
  <si>
    <t>Cajas de Cartón Sultana</t>
  </si>
  <si>
    <t>Vymnsa Santa Catarina</t>
  </si>
  <si>
    <t>Mighty Building</t>
  </si>
  <si>
    <t>Noah</t>
  </si>
  <si>
    <t>Vynmsa Santa Catarina</t>
  </si>
  <si>
    <t>Spec VIII</t>
  </si>
  <si>
    <t>Grupo Modelo</t>
  </si>
  <si>
    <t>TOTAL Santa Catarina</t>
  </si>
  <si>
    <t>SALINAS VICTORIA</t>
  </si>
  <si>
    <t>TOTAL Salinas Victoria</t>
  </si>
  <si>
    <t>TOTAL</t>
  </si>
  <si>
    <t>AVAILABLE BUILDINGS</t>
  </si>
  <si>
    <t>EDIFICIO</t>
  </si>
  <si>
    <t>UBICACIÓN</t>
  </si>
  <si>
    <t>AREA TOTAL S.M.</t>
  </si>
  <si>
    <t>AREA DISPONIBLE S.M</t>
  </si>
  <si>
    <t>TOTAL SF</t>
  </si>
  <si>
    <t>DISPONIBLE SF</t>
  </si>
  <si>
    <t>CLASE</t>
  </si>
  <si>
    <t>MCN 1 Modulo A</t>
  </si>
  <si>
    <t>Milenium Center Business Park</t>
  </si>
  <si>
    <t>MCN 1 Modulo B</t>
  </si>
  <si>
    <t>MCN 2</t>
  </si>
  <si>
    <t>Modulo 1, 2 y 3</t>
  </si>
  <si>
    <t>Flex Park</t>
  </si>
  <si>
    <t>G Induistrial</t>
  </si>
  <si>
    <t>Huinala V</t>
  </si>
  <si>
    <t>Huinala</t>
  </si>
  <si>
    <t>IJL</t>
  </si>
  <si>
    <t>Nave 531</t>
  </si>
  <si>
    <t>Parque Industrial Martel</t>
  </si>
  <si>
    <t>Martel</t>
  </si>
  <si>
    <t>Nave 530 &amp; 541</t>
  </si>
  <si>
    <t>Agua Fría 2</t>
  </si>
  <si>
    <t>Prologis Agua Fría</t>
  </si>
  <si>
    <t>Apodaca 8</t>
  </si>
  <si>
    <t>Prologis Apodaca Industrial Park</t>
  </si>
  <si>
    <t>Parque Industrial Vía 54</t>
  </si>
  <si>
    <t>Villacero</t>
  </si>
  <si>
    <t>PDN 1B</t>
  </si>
  <si>
    <t>Parque Industrial Libramiento</t>
  </si>
  <si>
    <t>San Nicolas</t>
  </si>
  <si>
    <t>Nave E</t>
  </si>
  <si>
    <t>Adhoc Sendero</t>
  </si>
  <si>
    <t>Adhoc</t>
  </si>
  <si>
    <t>HSAC Industrial Park</t>
  </si>
  <si>
    <t>HSAC</t>
  </si>
  <si>
    <t>Edificio 6</t>
  </si>
  <si>
    <t>Diamante Cienega de Flores III</t>
  </si>
  <si>
    <t>Salinas Victoria</t>
  </si>
  <si>
    <t>La Silla Guadalupe</t>
  </si>
  <si>
    <t>Ciesa</t>
  </si>
  <si>
    <t>KG 1 Sec. 1</t>
  </si>
  <si>
    <t>Vesta Guadalupe</t>
  </si>
  <si>
    <t>Nave 05</t>
  </si>
  <si>
    <t>AVIA Industrial Park</t>
  </si>
  <si>
    <t>AVIA</t>
  </si>
  <si>
    <t>Landus Sta. Catarina</t>
  </si>
  <si>
    <t>Landus</t>
  </si>
  <si>
    <t>La Puerta 4 - Fase I</t>
  </si>
  <si>
    <t>Parque La Puerta 4</t>
  </si>
  <si>
    <t>Pesqueria</t>
  </si>
  <si>
    <t>INVENTARIO EN CONSTRUCCION</t>
  </si>
  <si>
    <t>DISPONIBLE</t>
  </si>
  <si>
    <t>Inventory II</t>
  </si>
  <si>
    <t>4Q22</t>
  </si>
  <si>
    <t>Inventory III</t>
  </si>
  <si>
    <t>3Q23</t>
  </si>
  <si>
    <t>A09</t>
  </si>
  <si>
    <t>MAN 10</t>
  </si>
  <si>
    <t>MTY044</t>
  </si>
  <si>
    <t>1Q23</t>
  </si>
  <si>
    <t>Kronos 5</t>
  </si>
  <si>
    <t>SPI-XI</t>
  </si>
  <si>
    <t>SPI-XII</t>
  </si>
  <si>
    <t>SPV-06</t>
  </si>
  <si>
    <t>2Q23</t>
  </si>
  <si>
    <t>AE-INV 06</t>
  </si>
  <si>
    <t>Stiva Aeropuerto Industrial Park</t>
  </si>
  <si>
    <t>VPA-01</t>
  </si>
  <si>
    <t>Vesta Park Apodaca</t>
  </si>
  <si>
    <t>Spec C</t>
  </si>
  <si>
    <t>Building V</t>
  </si>
  <si>
    <t>Finsa Santa Catarina I</t>
  </si>
  <si>
    <t>La Puerta 4 - Fase II</t>
  </si>
  <si>
    <t>GA-INV 01</t>
  </si>
  <si>
    <t>Cienega De Flores</t>
  </si>
  <si>
    <t>CPAADN-B014</t>
  </si>
  <si>
    <t>CPA Logistics Center ADN</t>
  </si>
  <si>
    <t>Edificio 7</t>
  </si>
  <si>
    <t>AG02-A</t>
  </si>
  <si>
    <t>PRIVATE OWNERS</t>
  </si>
  <si>
    <t>EMPRESA</t>
  </si>
  <si>
    <t>BTS/ Inventario / Terreno</t>
  </si>
  <si>
    <t>TERRENO HAS</t>
  </si>
  <si>
    <t>EDIFICIO S.M.</t>
  </si>
  <si>
    <t>EDIFICIO S.F.</t>
  </si>
  <si>
    <t>PRECIO</t>
  </si>
  <si>
    <t>Danhill</t>
  </si>
  <si>
    <t>Parque Industrial La Silla</t>
  </si>
  <si>
    <t>Apodaca II</t>
  </si>
  <si>
    <t>NA</t>
  </si>
  <si>
    <t>Logística</t>
  </si>
  <si>
    <t>Frysa</t>
  </si>
  <si>
    <t>Terreno</t>
  </si>
  <si>
    <t>Yezica Guadiana</t>
  </si>
  <si>
    <t>Sambo Motors</t>
  </si>
  <si>
    <t>Airport Technology Park</t>
  </si>
  <si>
    <t>Inventario</t>
  </si>
  <si>
    <t>ESON</t>
  </si>
  <si>
    <t>Bosch</t>
  </si>
  <si>
    <t xml:space="preserve">Interpuerto </t>
  </si>
  <si>
    <t>Kuka Home</t>
  </si>
  <si>
    <t>Hengli</t>
  </si>
  <si>
    <t>Kern Liebers</t>
  </si>
  <si>
    <t>Woosung Power Tech</t>
  </si>
  <si>
    <t>Nexxus Santa Maria</t>
  </si>
  <si>
    <t>YSM</t>
  </si>
  <si>
    <t>Coexsa Lomas EMEI</t>
  </si>
  <si>
    <t>Marin</t>
  </si>
  <si>
    <t>Lingong Machinery Group</t>
  </si>
  <si>
    <t>Roots Industrial Park</t>
  </si>
  <si>
    <t>Dayou</t>
  </si>
  <si>
    <t>Terra Park Santa Catarina III</t>
  </si>
  <si>
    <t>ZF Lab</t>
  </si>
  <si>
    <t>Cuprum</t>
  </si>
  <si>
    <t>LAND</t>
  </si>
  <si>
    <t>AREA TOTAL TERRENO hectareas</t>
  </si>
  <si>
    <t>DESARROLLADO</t>
  </si>
  <si>
    <t>POR DESARROLLAR</t>
  </si>
  <si>
    <t>DISPONIBLE PARA VENTA</t>
  </si>
  <si>
    <t>Interpuerto</t>
  </si>
  <si>
    <t>Interpuerto Industrial Park</t>
  </si>
  <si>
    <t>91.56 hec. semi urbanizado / 1,055 hec. en breña</t>
  </si>
  <si>
    <t>Diamante Cienega de Flores</t>
  </si>
  <si>
    <t>Nexxus Cienega de Flores</t>
  </si>
  <si>
    <t>Nexxus ADN</t>
  </si>
  <si>
    <t>MTP</t>
  </si>
  <si>
    <t>Vigia</t>
  </si>
  <si>
    <t>American Ind.</t>
  </si>
  <si>
    <t>Regio Parque Industrial Park</t>
  </si>
  <si>
    <t>4,469 mts</t>
  </si>
  <si>
    <t>Capital G</t>
  </si>
  <si>
    <t>Finsa Apodaca</t>
  </si>
  <si>
    <t>Davisa Apodaca Industrial</t>
  </si>
  <si>
    <t xml:space="preserve">Guadalupe </t>
  </si>
  <si>
    <t>Sta. Catarina</t>
  </si>
  <si>
    <t>Las Americas</t>
  </si>
  <si>
    <t>Martel Industrial Park III</t>
  </si>
  <si>
    <t>No negociable</t>
  </si>
  <si>
    <t>Escobedo / El Carmen</t>
  </si>
  <si>
    <t>El Jaral Industrial Park</t>
  </si>
  <si>
    <t>García</t>
  </si>
  <si>
    <t>Advance Real Estate</t>
  </si>
  <si>
    <t>Advance Industrial Park (PIAM)</t>
  </si>
  <si>
    <t>El Carmen</t>
  </si>
  <si>
    <t xml:space="preserve">EVALTA  </t>
  </si>
  <si>
    <t>EVALTA - GTP</t>
  </si>
  <si>
    <t>EVALTA - CIP</t>
  </si>
  <si>
    <t>Abasolo</t>
  </si>
  <si>
    <t>EVALTA - NLC</t>
  </si>
  <si>
    <t>EVALTA - ATP</t>
  </si>
  <si>
    <t>Diamante Pesquería</t>
  </si>
  <si>
    <t>Solo para BTS</t>
  </si>
  <si>
    <t>Apodaca (DN)</t>
  </si>
  <si>
    <t>Savy</t>
  </si>
  <si>
    <t>Savy Capital Dulces Nombres</t>
  </si>
  <si>
    <t>Robertson</t>
  </si>
  <si>
    <t>Puerta Pesquería</t>
  </si>
  <si>
    <t>Avante Monterrey</t>
  </si>
  <si>
    <t>PIES CUADRADOS TOTALES CONSTRUIDOS</t>
  </si>
  <si>
    <t>Market / Real Estate Companies</t>
  </si>
  <si>
    <t>July 2022</t>
  </si>
  <si>
    <t>Square Feet</t>
  </si>
  <si>
    <t>%Of Total</t>
  </si>
  <si>
    <t>Advance</t>
  </si>
  <si>
    <t>Amistad</t>
  </si>
  <si>
    <t>Capital G (Kronos)</t>
  </si>
  <si>
    <t>Fibra Nova</t>
  </si>
  <si>
    <t>Fibra uno (Finsa)</t>
  </si>
  <si>
    <t>FIMAC (CPA + DCT+ Intramerica+Nexxus+CPA)</t>
  </si>
  <si>
    <t xml:space="preserve">Finsa </t>
  </si>
  <si>
    <t>GDS Industrial</t>
  </si>
  <si>
    <t xml:space="preserve">Grupo GP </t>
  </si>
  <si>
    <t>Hofusan</t>
  </si>
  <si>
    <t>Inmobiliaria Cumbres</t>
  </si>
  <si>
    <t>Intermex</t>
  </si>
  <si>
    <t xml:space="preserve">Kalos </t>
  </si>
  <si>
    <t>Omolap</t>
  </si>
  <si>
    <t>PIRSA</t>
  </si>
  <si>
    <t>Puerta Norte</t>
  </si>
  <si>
    <t>Terrafina (O’Donnell+AI)</t>
  </si>
  <si>
    <t>Total Monterrey :</t>
  </si>
  <si>
    <t>PROYECTOS FUTUROS</t>
  </si>
  <si>
    <t>AREA TOTAL TERRENO</t>
  </si>
  <si>
    <t>BTS/ Inventory</t>
  </si>
  <si>
    <t>GDS Business Park</t>
  </si>
  <si>
    <t>Building 3</t>
  </si>
  <si>
    <t>Building 4</t>
  </si>
  <si>
    <t>Building 5</t>
  </si>
  <si>
    <t>Building 6</t>
  </si>
  <si>
    <t>Las Americas Pesquería</t>
  </si>
  <si>
    <t>100 hectareas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</si>
</sst>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[$-409]d\-mmm\-yy;@"/>
    <numFmt numFmtId="165" formatCode="[$-409]mmm\-yy;@"/>
    <numFmt numFmtId="166" formatCode="#,##0.0"/>
    <numFmt numFmtId="167" formatCode="_-&quot;$&quot;* #,##0_-;\-&quot;$&quot;* #,##0_-;_-&quot;$&quot;* &quot;-&quot;??_-;_-@_-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23"/>
      <name val="Century Gothic"/>
      <family val="2"/>
    </font>
    <font>
      <sz val="10"/>
      <name val="Open Sans"/>
      <family val="2"/>
    </font>
    <font>
      <sz val="10"/>
      <name val="Century Gothic"/>
      <family val="2"/>
    </font>
    <font>
      <b/>
      <sz val="16"/>
      <color theme="3" tint="0.39997558519241921"/>
      <name val="Century Gothic"/>
      <family val="2"/>
    </font>
    <font>
      <b/>
      <sz val="12"/>
      <color indexed="23"/>
      <name val="Century Gothic"/>
      <family val="2"/>
    </font>
    <font>
      <b/>
      <sz val="14"/>
      <name val="Arial"/>
      <family val="2"/>
    </font>
    <font>
      <b/>
      <sz val="12"/>
      <color indexed="9"/>
      <name val="Century Gothic"/>
      <family val="2"/>
    </font>
    <font>
      <b/>
      <sz val="12"/>
      <name val="Arial"/>
      <family val="2"/>
    </font>
    <font>
      <b/>
      <sz val="16"/>
      <color indexed="54"/>
      <name val="Century Gothic"/>
      <family val="2"/>
    </font>
    <font>
      <b/>
      <sz val="16"/>
      <name val="Arial"/>
      <family val="2"/>
    </font>
    <font>
      <sz val="10"/>
      <color theme="3" tint="-0.249977111117893"/>
      <name val="Century Gothic"/>
      <family val="2"/>
    </font>
    <font>
      <b/>
      <sz val="10"/>
      <color theme="3" tint="-0.249977111117893"/>
      <name val="Century Gothic"/>
      <family val="2"/>
    </font>
    <font>
      <sz val="10"/>
      <color theme="3" tint="-0.249977111117893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color indexed="9"/>
      <name val="Century Gothic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 tint="0.39997558519241921"/>
      <name val="Century Gothic"/>
      <family val="2"/>
    </font>
    <font>
      <b/>
      <sz val="18"/>
      <name val="Century Gothic"/>
      <family val="2"/>
    </font>
    <font>
      <sz val="9"/>
      <name val="Century Gothic"/>
      <family val="2"/>
    </font>
    <font>
      <b/>
      <sz val="10"/>
      <color indexed="23"/>
      <name val="Century Gothic"/>
      <family val="2"/>
    </font>
    <font>
      <sz val="10"/>
      <color indexed="55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54"/>
      <name val="Century Gothic"/>
      <family val="2"/>
    </font>
    <font>
      <sz val="9"/>
      <name val="Calibri"/>
      <family val="2"/>
    </font>
    <font>
      <sz val="9"/>
      <color theme="3" tint="-0.249977111117893"/>
      <name val="Century Gothic"/>
      <family val="2"/>
    </font>
    <font>
      <sz val="10"/>
      <color theme="3" tint="-0.249977111117893"/>
      <name val="Calibri"/>
      <family val="2"/>
    </font>
    <font>
      <sz val="10"/>
      <name val="Calibri"/>
      <family val="2"/>
    </font>
    <font>
      <b/>
      <sz val="18"/>
      <color theme="3" tint="0.39997558519241921"/>
      <name val="Century Gothic"/>
      <family val="2"/>
    </font>
    <font>
      <b/>
      <sz val="9"/>
      <color theme="3" tint="-0.249977111117893"/>
      <name val="Century Gothic"/>
      <family val="2"/>
    </font>
    <font>
      <b/>
      <sz val="14"/>
      <color indexed="9"/>
      <name val="Century Gothic"/>
      <family val="2"/>
    </font>
    <font>
      <sz val="10"/>
      <color indexed="9"/>
      <name val="Century Gothic"/>
      <family val="2"/>
    </font>
    <font>
      <b/>
      <sz val="10"/>
      <color indexed="22"/>
      <name val="Century Gothic"/>
      <family val="2"/>
    </font>
    <font>
      <sz val="10"/>
      <color indexed="22"/>
      <name val="Century Gothic"/>
      <family val="2"/>
    </font>
    <font>
      <sz val="10"/>
      <color theme="4" tint="-0.499984740745262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Century Gothic"/>
      <family val="2"/>
    </font>
    <font>
      <sz val="10"/>
      <color theme="1"/>
      <name val="Arial"/>
      <family val="2"/>
    </font>
    <font>
      <sz val="10"/>
      <color rgb="FF00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17" fontId="14" fillId="0" borderId="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3" fontId="15" fillId="0" borderId="2" xfId="0" applyNumberFormat="1" applyFont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2" fillId="3" borderId="8" xfId="0" applyFont="1" applyFill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Alignment="1">
      <alignment vertical="center"/>
    </xf>
    <xf numFmtId="2" fontId="14" fillId="0" borderId="2" xfId="0" applyNumberFormat="1" applyFont="1" applyBorder="1" applyAlignment="1">
      <alignment horizontal="left"/>
    </xf>
    <xf numFmtId="2" fontId="14" fillId="0" borderId="2" xfId="0" applyNumberFormat="1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6" xfId="0" applyFont="1" applyBorder="1" applyAlignment="1">
      <alignment vertical="center"/>
    </xf>
    <xf numFmtId="8" fontId="14" fillId="0" borderId="2" xfId="0" applyNumberFormat="1" applyFont="1" applyBorder="1" applyAlignment="1">
      <alignment horizontal="center" vertical="center"/>
    </xf>
    <xf numFmtId="8" fontId="14" fillId="4" borderId="2" xfId="2" applyNumberFormat="1" applyFont="1" applyFill="1" applyBorder="1" applyAlignment="1">
      <alignment horizontal="left" vertical="center"/>
    </xf>
    <xf numFmtId="8" fontId="14" fillId="0" borderId="2" xfId="2" applyNumberFormat="1" applyFont="1" applyBorder="1" applyAlignment="1">
      <alignment horizontal="left" vertical="center"/>
    </xf>
    <xf numFmtId="0" fontId="16" fillId="0" borderId="0" xfId="2" applyFont="1" applyAlignment="1">
      <alignment vertical="center"/>
    </xf>
    <xf numFmtId="0" fontId="1" fillId="5" borderId="4" xfId="0" applyFont="1" applyFill="1" applyBorder="1" applyAlignment="1">
      <alignment vertical="center"/>
    </xf>
    <xf numFmtId="3" fontId="20" fillId="5" borderId="4" xfId="0" applyNumberFormat="1" applyFont="1" applyFill="1" applyBorder="1" applyAlignment="1">
      <alignment horizontal="left" vertical="center"/>
    </xf>
    <xf numFmtId="3" fontId="20" fillId="5" borderId="8" xfId="0" applyNumberFormat="1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3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vertical="center"/>
    </xf>
    <xf numFmtId="8" fontId="14" fillId="0" borderId="2" xfId="0" applyNumberFormat="1" applyFont="1" applyBorder="1" applyAlignment="1">
      <alignment vertical="center"/>
    </xf>
    <xf numFmtId="8" fontId="14" fillId="4" borderId="2" xfId="0" applyNumberFormat="1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vertical="center"/>
    </xf>
    <xf numFmtId="164" fontId="21" fillId="2" borderId="2" xfId="0" applyNumberFormat="1" applyFont="1" applyFill="1" applyBorder="1" applyAlignment="1">
      <alignment vertical="center"/>
    </xf>
    <xf numFmtId="0" fontId="21" fillId="2" borderId="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3" fontId="30" fillId="2" borderId="10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3" fontId="30" fillId="2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1" fillId="3" borderId="2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3" fontId="32" fillId="0" borderId="0" xfId="0" applyNumberFormat="1" applyFont="1" applyAlignment="1">
      <alignment horizontal="right" vertical="center" wrapText="1"/>
    </xf>
    <xf numFmtId="3" fontId="33" fillId="0" borderId="0" xfId="0" applyNumberFormat="1" applyFont="1" applyAlignment="1">
      <alignment horizontal="left" vertical="center"/>
    </xf>
    <xf numFmtId="3" fontId="15" fillId="0" borderId="2" xfId="0" applyNumberFormat="1" applyFont="1" applyBorder="1" applyAlignment="1">
      <alignment horizontal="center" vertical="center"/>
    </xf>
    <xf numFmtId="3" fontId="35" fillId="0" borderId="0" xfId="0" applyNumberFormat="1" applyFont="1" applyAlignment="1">
      <alignment vertical="center"/>
    </xf>
    <xf numFmtId="0" fontId="31" fillId="3" borderId="8" xfId="0" applyFont="1" applyFill="1" applyBorder="1" applyAlignment="1">
      <alignment vertical="center"/>
    </xf>
    <xf numFmtId="3" fontId="15" fillId="0" borderId="10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3" fontId="35" fillId="0" borderId="0" xfId="0" applyNumberFormat="1" applyFont="1" applyAlignment="1">
      <alignment horizontal="right" vertical="center"/>
    </xf>
    <xf numFmtId="166" fontId="14" fillId="0" borderId="2" xfId="0" applyNumberFormat="1" applyFont="1" applyBorder="1" applyAlignment="1">
      <alignment horizontal="center" vertical="center"/>
    </xf>
    <xf numFmtId="3" fontId="34" fillId="0" borderId="0" xfId="0" applyNumberFormat="1" applyFont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3" fontId="0" fillId="0" borderId="0" xfId="0" applyNumberFormat="1"/>
    <xf numFmtId="0" fontId="6" fillId="0" borderId="0" xfId="0" applyFont="1" applyAlignment="1">
      <alignment vertical="center"/>
    </xf>
    <xf numFmtId="0" fontId="28" fillId="2" borderId="2" xfId="0" applyFont="1" applyFill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3" fontId="37" fillId="0" borderId="7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6" fillId="4" borderId="0" xfId="0" applyFont="1" applyFill="1" applyAlignment="1">
      <alignment vertical="center"/>
    </xf>
    <xf numFmtId="0" fontId="33" fillId="0" borderId="2" xfId="0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14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center" vertical="center"/>
    </xf>
    <xf numFmtId="3" fontId="14" fillId="4" borderId="8" xfId="0" applyNumberFormat="1" applyFont="1" applyFill="1" applyBorder="1" applyAlignment="1">
      <alignment horizontal="center" vertical="center"/>
    </xf>
    <xf numFmtId="3" fontId="33" fillId="4" borderId="8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3" fontId="37" fillId="0" borderId="1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3" fontId="37" fillId="0" borderId="2" xfId="0" applyNumberFormat="1" applyFont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3" fontId="38" fillId="2" borderId="4" xfId="0" applyNumberFormat="1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41" fillId="3" borderId="0" xfId="0" applyFont="1" applyFill="1" applyAlignment="1">
      <alignment vertical="center"/>
    </xf>
    <xf numFmtId="3" fontId="42" fillId="0" borderId="2" xfId="0" applyNumberFormat="1" applyFont="1" applyBorder="1" applyAlignment="1">
      <alignment horizontal="center" vertical="center"/>
    </xf>
    <xf numFmtId="165" fontId="42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43" fillId="2" borderId="11" xfId="0" applyFont="1" applyFill="1" applyBorder="1" applyAlignment="1">
      <alignment vertical="center"/>
    </xf>
    <xf numFmtId="0" fontId="38" fillId="2" borderId="1" xfId="0" applyFont="1" applyFill="1" applyBorder="1" applyAlignment="1">
      <alignment vertical="center"/>
    </xf>
    <xf numFmtId="0" fontId="38" fillId="2" borderId="1" xfId="0" applyFont="1" applyFill="1" applyBorder="1" applyAlignment="1">
      <alignment horizontal="right" vertical="center"/>
    </xf>
    <xf numFmtId="3" fontId="38" fillId="2" borderId="1" xfId="0" applyNumberFormat="1" applyFont="1" applyFill="1" applyBorder="1" applyAlignment="1">
      <alignment horizontal="right" vertical="center"/>
    </xf>
    <xf numFmtId="0" fontId="38" fillId="2" borderId="1" xfId="0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41" fillId="3" borderId="8" xfId="0" applyFont="1" applyFill="1" applyBorder="1" applyAlignment="1">
      <alignment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67" fontId="42" fillId="0" borderId="2" xfId="1" applyNumberFormat="1" applyFont="1" applyBorder="1" applyAlignment="1">
      <alignment horizontal="center" vertical="center"/>
    </xf>
    <xf numFmtId="167" fontId="14" fillId="0" borderId="2" xfId="3" applyNumberFormat="1" applyFont="1" applyBorder="1" applyAlignment="1">
      <alignment horizontal="center" vertical="center"/>
    </xf>
    <xf numFmtId="0" fontId="43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38" fillId="2" borderId="0" xfId="0" applyFont="1" applyFill="1" applyAlignment="1">
      <alignment horizontal="right" vertical="center"/>
    </xf>
    <xf numFmtId="3" fontId="38" fillId="2" borderId="0" xfId="0" applyNumberFormat="1" applyFont="1" applyFill="1" applyAlignment="1">
      <alignment horizontal="right" vertical="center"/>
    </xf>
    <xf numFmtId="0" fontId="43" fillId="2" borderId="14" xfId="0" applyFont="1" applyFill="1" applyBorder="1" applyAlignment="1">
      <alignment vertical="center"/>
    </xf>
    <xf numFmtId="0" fontId="46" fillId="0" borderId="22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10" fontId="0" fillId="0" borderId="2" xfId="0" applyNumberFormat="1" applyBorder="1"/>
    <xf numFmtId="0" fontId="19" fillId="0" borderId="0" xfId="0" applyFont="1"/>
    <xf numFmtId="0" fontId="3" fillId="0" borderId="2" xfId="0" applyFont="1" applyBorder="1"/>
    <xf numFmtId="0" fontId="30" fillId="2" borderId="1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43" fillId="2" borderId="6" xfId="0" applyFont="1" applyFill="1" applyBorder="1" applyAlignment="1">
      <alignment vertical="center"/>
    </xf>
    <xf numFmtId="0" fontId="38" fillId="2" borderId="0" xfId="0" applyFont="1" applyFill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17" fontId="33" fillId="0" borderId="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7" fontId="14" fillId="0" borderId="2" xfId="0" applyNumberFormat="1" applyFont="1" applyBorder="1" applyAlignment="1">
      <alignment horizontal="center" vertical="center"/>
    </xf>
    <xf numFmtId="3" fontId="33" fillId="0" borderId="2" xfId="0" applyNumberFormat="1" applyFont="1" applyBorder="1" applyAlignment="1">
      <alignment horizontal="center" vertical="center" wrapText="1"/>
    </xf>
    <xf numFmtId="3" fontId="33" fillId="0" borderId="2" xfId="0" applyNumberFormat="1" applyFont="1" applyBorder="1" applyAlignment="1">
      <alignment horizontal="center" vertical="center"/>
    </xf>
    <xf numFmtId="0" fontId="14" fillId="0" borderId="2" xfId="2" applyFont="1" applyBorder="1" applyAlignment="1">
      <alignment vertical="center"/>
    </xf>
    <xf numFmtId="3" fontId="14" fillId="0" borderId="2" xfId="2" applyNumberFormat="1" applyFont="1" applyBorder="1" applyAlignment="1">
      <alignment horizontal="left" vertical="center"/>
    </xf>
    <xf numFmtId="3" fontId="14" fillId="0" borderId="2" xfId="2" applyNumberFormat="1" applyFont="1" applyBorder="1" applyAlignment="1">
      <alignment horizontal="center" vertical="center"/>
    </xf>
    <xf numFmtId="0" fontId="48" fillId="0" borderId="0" xfId="0" applyFont="1"/>
    <xf numFmtId="0" fontId="14" fillId="0" borderId="2" xfId="0" applyFont="1" applyBorder="1" applyAlignment="1">
      <alignment horizontal="left" vertical="top"/>
    </xf>
    <xf numFmtId="3" fontId="14" fillId="0" borderId="2" xfId="0" applyNumberFormat="1" applyFont="1" applyBorder="1" applyAlignment="1">
      <alignment horizontal="left" vertical="center"/>
    </xf>
    <xf numFmtId="3" fontId="34" fillId="0" borderId="0" xfId="0" applyNumberFormat="1" applyFont="1" applyAlignment="1">
      <alignment horizontal="right" vertical="center" wrapText="1"/>
    </xf>
    <xf numFmtId="0" fontId="14" fillId="0" borderId="4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3" fontId="14" fillId="0" borderId="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3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2" xfId="2" applyFont="1" applyBorder="1" applyAlignment="1">
      <alignment horizontal="center" vertical="center"/>
    </xf>
    <xf numFmtId="165" fontId="14" fillId="0" borderId="2" xfId="2" applyNumberFormat="1" applyFont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165" fontId="14" fillId="0" borderId="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3" fontId="34" fillId="0" borderId="0" xfId="0" applyNumberFormat="1" applyFont="1" applyAlignment="1">
      <alignment vertical="center"/>
    </xf>
    <xf numFmtId="3" fontId="14" fillId="0" borderId="2" xfId="0" applyNumberFormat="1" applyFont="1" applyBorder="1" applyAlignment="1">
      <alignment horizontal="left" vertical="center" wrapText="1"/>
    </xf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4" fontId="1" fillId="0" borderId="0" xfId="0" applyNumberFormat="1" applyFont="1"/>
    <xf numFmtId="4" fontId="16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0" fontId="4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3" fontId="3" fillId="0" borderId="2" xfId="0" applyNumberFormat="1" applyFont="1" applyBorder="1"/>
    <xf numFmtId="9" fontId="3" fillId="0" borderId="2" xfId="0" applyNumberFormat="1" applyFont="1" applyBorder="1"/>
    <xf numFmtId="0" fontId="14" fillId="4" borderId="2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3" fontId="33" fillId="0" borderId="7" xfId="0" applyNumberFormat="1" applyFont="1" applyBorder="1" applyAlignment="1">
      <alignment horizontal="center" vertical="center" wrapText="1"/>
    </xf>
    <xf numFmtId="0" fontId="49" fillId="0" borderId="2" xfId="2" applyFont="1" applyBorder="1" applyAlignment="1">
      <alignment vertical="center"/>
    </xf>
    <xf numFmtId="3" fontId="14" fillId="0" borderId="12" xfId="0" applyNumberFormat="1" applyFont="1" applyBorder="1" applyAlignment="1">
      <alignment horizontal="center" vertical="center"/>
    </xf>
    <xf numFmtId="17" fontId="33" fillId="4" borderId="7" xfId="0" applyNumberFormat="1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9" fillId="6" borderId="2" xfId="4" applyFill="1" applyBorder="1"/>
    <xf numFmtId="3" fontId="0" fillId="6" borderId="2" xfId="0" applyNumberFormat="1" applyFill="1" applyBorder="1"/>
    <xf numFmtId="0" fontId="19" fillId="6" borderId="7" xfId="4" applyFill="1" applyBorder="1"/>
    <xf numFmtId="3" fontId="0" fillId="6" borderId="0" xfId="0" applyNumberFormat="1" applyFill="1"/>
    <xf numFmtId="0" fontId="19" fillId="0" borderId="2" xfId="4" applyBorder="1"/>
    <xf numFmtId="3" fontId="47" fillId="0" borderId="2" xfId="0" applyNumberFormat="1" applyFont="1" applyBorder="1"/>
    <xf numFmtId="0" fontId="19" fillId="7" borderId="2" xfId="4" applyFill="1" applyBorder="1"/>
    <xf numFmtId="3" fontId="0" fillId="7" borderId="2" xfId="0" applyNumberFormat="1" applyFill="1" applyBorder="1"/>
    <xf numFmtId="3" fontId="0" fillId="0" borderId="2" xfId="0" applyNumberFormat="1" applyBorder="1"/>
    <xf numFmtId="0" fontId="49" fillId="0" borderId="2" xfId="0" applyFont="1" applyBorder="1" applyAlignment="1">
      <alignment horizontal="center" vertical="center"/>
    </xf>
    <xf numFmtId="0" fontId="50" fillId="0" borderId="2" xfId="4" applyFont="1" applyBorder="1"/>
    <xf numFmtId="3" fontId="1" fillId="0" borderId="2" xfId="0" applyNumberFormat="1" applyFont="1" applyBorder="1"/>
    <xf numFmtId="0" fontId="15" fillId="0" borderId="2" xfId="0" applyFont="1" applyBorder="1" applyAlignment="1">
      <alignment horizontal="right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vertical="center"/>
    </xf>
    <xf numFmtId="3" fontId="14" fillId="4" borderId="7" xfId="0" applyNumberFormat="1" applyFont="1" applyFill="1" applyBorder="1" applyAlignment="1">
      <alignment horizontal="center" vertical="center"/>
    </xf>
    <xf numFmtId="17" fontId="14" fillId="4" borderId="7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17" fontId="33" fillId="0" borderId="7" xfId="0" applyNumberFormat="1" applyFont="1" applyBorder="1" applyAlignment="1">
      <alignment horizontal="center" vertical="center"/>
    </xf>
    <xf numFmtId="0" fontId="51" fillId="4" borderId="7" xfId="0" applyFont="1" applyFill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49" fillId="0" borderId="7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3" fontId="15" fillId="0" borderId="2" xfId="0" applyNumberFormat="1" applyFont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15" fillId="0" borderId="3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31" fillId="3" borderId="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right" vertical="center"/>
    </xf>
    <xf numFmtId="0" fontId="37" fillId="0" borderId="16" xfId="0" applyFont="1" applyBorder="1" applyAlignment="1">
      <alignment horizontal="right" vertical="center"/>
    </xf>
    <xf numFmtId="0" fontId="37" fillId="0" borderId="17" xfId="0" applyFont="1" applyBorder="1" applyAlignment="1">
      <alignment horizontal="right" vertical="center"/>
    </xf>
    <xf numFmtId="0" fontId="37" fillId="0" borderId="18" xfId="0" applyFont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7" fillId="0" borderId="11" xfId="0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0" fontId="37" fillId="0" borderId="12" xfId="0" applyFont="1" applyBorder="1" applyAlignment="1">
      <alignment horizontal="right" vertical="center"/>
    </xf>
    <xf numFmtId="0" fontId="37" fillId="0" borderId="3" xfId="0" applyFont="1" applyBorder="1" applyAlignment="1">
      <alignment horizontal="right" vertical="center"/>
    </xf>
    <xf numFmtId="0" fontId="37" fillId="0" borderId="4" xfId="0" applyFont="1" applyBorder="1" applyAlignment="1">
      <alignment horizontal="right" vertical="center"/>
    </xf>
    <xf numFmtId="0" fontId="37" fillId="0" borderId="8" xfId="0" applyFont="1" applyBorder="1" applyAlignment="1">
      <alignment horizontal="right" vertical="center"/>
    </xf>
    <xf numFmtId="0" fontId="12" fillId="3" borderId="10" xfId="0" applyFont="1" applyFill="1" applyBorder="1" applyAlignment="1">
      <alignment horizontal="center" vertical="center"/>
    </xf>
    <xf numFmtId="0" fontId="40" fillId="3" borderId="0" xfId="0" applyFont="1" applyFill="1" applyAlignment="1">
      <alignment horizontal="left" vertical="center"/>
    </xf>
    <xf numFmtId="0" fontId="45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40" fillId="3" borderId="24" xfId="0" applyFont="1" applyFill="1" applyBorder="1" applyAlignment="1">
      <alignment horizontal="left" vertical="center"/>
    </xf>
  </cellXfs>
  <cellStyles count="15">
    <cellStyle name="Moneda" xfId="1" builtinId="4"/>
    <cellStyle name="Moneda 2" xfId="3" xr:uid="{FFF35358-769D-42B4-AD01-63737015548C}"/>
    <cellStyle name="Moneda 2 2" xfId="6" xr:uid="{51032BB2-F401-45FA-A6B2-FEE872AE8CC0}"/>
    <cellStyle name="Moneda 2 2 2" xfId="10" xr:uid="{B5FF4A14-EF96-4D49-8317-7D9F19F8CE87}"/>
    <cellStyle name="Moneda 2 2 3" xfId="14" xr:uid="{1AB63616-00B3-4546-878F-5387239B8EF5}"/>
    <cellStyle name="Moneda 2 3" xfId="8" xr:uid="{79EEB431-7CA5-40B4-97D9-6CA788E7B72F}"/>
    <cellStyle name="Moneda 2 4" xfId="12" xr:uid="{229C42C8-FB1F-4905-A29E-73925839F51B}"/>
    <cellStyle name="Moneda 3" xfId="5" xr:uid="{7F9AFBE0-F67B-47E9-98A6-6D13A325ECC9}"/>
    <cellStyle name="Moneda 3 2" xfId="9" xr:uid="{036C200D-117B-4BB4-B7A2-703C7408E35D}"/>
    <cellStyle name="Moneda 3 3" xfId="13" xr:uid="{7054BF7B-832E-4C87-BD15-B444142586AC}"/>
    <cellStyle name="Moneda 4" xfId="7" xr:uid="{19A6770C-970D-4F60-9807-6CB87992F426}"/>
    <cellStyle name="Moneda 5" xfId="11" xr:uid="{50785546-064E-4905-8FE6-19C18BB6B222}"/>
    <cellStyle name="Normal" xfId="0" builtinId="0"/>
    <cellStyle name="Normal 2" xfId="2" xr:uid="{49D2A1A7-CC77-4D20-B0E3-2566FCA2B05F}"/>
    <cellStyle name="Normal 2 2" xfId="4" xr:uid="{A584367E-F6E8-49D3-AAFB-DCB3F1095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946E-6B41-4B1C-8BB2-FB2C0B62F011}">
  <dimension ref="A1:Q144"/>
  <sheetViews>
    <sheetView tabSelected="1" topLeftCell="A121" zoomScale="90" zoomScaleNormal="90" workbookViewId="0">
      <selection activeCell="L8" sqref="L8"/>
    </sheetView>
  </sheetViews>
  <sheetFormatPr defaultColWidth="11.42578125" defaultRowHeight="14.25"/>
  <cols>
    <col min="1" max="1" width="4" style="7" customWidth="1"/>
    <col min="2" max="2" width="21.140625" style="7" bestFit="1" customWidth="1"/>
    <col min="3" max="3" width="26" style="7" bestFit="1" customWidth="1"/>
    <col min="4" max="4" width="37.140625" style="7" customWidth="1"/>
    <col min="5" max="5" width="31" style="7" bestFit="1" customWidth="1"/>
    <col min="6" max="6" width="11.42578125" style="7" bestFit="1" customWidth="1"/>
    <col min="7" max="7" width="12.7109375" style="7" bestFit="1" customWidth="1"/>
    <col min="8" max="8" width="23.28515625" style="7" bestFit="1" customWidth="1"/>
    <col min="9" max="9" width="13" style="7" bestFit="1" customWidth="1"/>
    <col min="10" max="10" width="29.42578125" style="7" bestFit="1" customWidth="1"/>
    <col min="11" max="11" width="12.85546875" style="7" bestFit="1" customWidth="1"/>
    <col min="12" max="12" width="23.42578125" style="7" customWidth="1"/>
    <col min="13" max="13" width="45.28515625" style="7" customWidth="1"/>
    <col min="14" max="14" width="11.7109375" style="7" customWidth="1"/>
    <col min="15" max="15" width="9.5703125" style="7" customWidth="1"/>
    <col min="16" max="16" width="8.140625" style="7" customWidth="1"/>
    <col min="17" max="16384" width="11.42578125" style="7"/>
  </cols>
  <sheetData>
    <row r="1" spans="1:17" ht="15">
      <c r="A1" s="1"/>
      <c r="B1" s="2"/>
      <c r="C1" s="3"/>
      <c r="D1" s="3"/>
      <c r="E1" s="3"/>
      <c r="F1" s="3"/>
      <c r="G1" s="4"/>
      <c r="H1" s="3"/>
      <c r="I1" s="5"/>
      <c r="J1" s="3"/>
      <c r="K1" s="6"/>
      <c r="L1" s="3"/>
      <c r="M1" s="3"/>
      <c r="N1" s="3"/>
      <c r="O1" s="3"/>
      <c r="P1" s="6"/>
    </row>
    <row r="2" spans="1:17" s="8" customFormat="1" ht="19.5">
      <c r="A2" s="220" t="s">
        <v>0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</row>
    <row r="3" spans="1:17" s="9" customFormat="1" ht="17.649999999999999">
      <c r="A3" s="221" t="s">
        <v>1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1:17" s="15" customFormat="1" ht="15.75" customHeight="1">
      <c r="A4" s="10"/>
      <c r="B4" s="11" t="s">
        <v>2</v>
      </c>
      <c r="C4" s="11" t="s">
        <v>3</v>
      </c>
      <c r="D4" s="12" t="s">
        <v>4</v>
      </c>
      <c r="E4" s="11" t="s">
        <v>5</v>
      </c>
      <c r="F4" s="11" t="s">
        <v>6</v>
      </c>
      <c r="G4" s="13" t="s">
        <v>7</v>
      </c>
      <c r="H4" s="11" t="s">
        <v>8</v>
      </c>
      <c r="I4" s="14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  <c r="O4" s="11" t="s">
        <v>15</v>
      </c>
      <c r="P4" s="13" t="s">
        <v>16</v>
      </c>
    </row>
    <row r="5" spans="1:17" s="20" customFormat="1" ht="19.5" customHeight="1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  <c r="P5" s="17"/>
      <c r="Q5" s="19"/>
    </row>
    <row r="6" spans="1:17" s="215" customFormat="1" ht="13.15">
      <c r="A6" s="211">
        <v>1</v>
      </c>
      <c r="B6" s="212" t="s">
        <v>18</v>
      </c>
      <c r="C6" s="217" t="s">
        <v>19</v>
      </c>
      <c r="D6" s="212" t="s">
        <v>20</v>
      </c>
      <c r="E6" s="211" t="s">
        <v>21</v>
      </c>
      <c r="F6" s="213">
        <f>G6/10.764</f>
        <v>18732.643998513566</v>
      </c>
      <c r="G6" s="213">
        <v>201638.18</v>
      </c>
      <c r="H6" s="211" t="s">
        <v>22</v>
      </c>
      <c r="I6" s="214" t="s">
        <v>23</v>
      </c>
      <c r="J6" s="211" t="s">
        <v>24</v>
      </c>
      <c r="K6" s="211">
        <v>10</v>
      </c>
      <c r="L6" s="212" t="s">
        <v>25</v>
      </c>
      <c r="M6" s="212" t="s">
        <v>26</v>
      </c>
      <c r="N6" s="171" t="s">
        <v>27</v>
      </c>
      <c r="O6" s="171" t="s">
        <v>28</v>
      </c>
      <c r="P6" s="211" t="s">
        <v>29</v>
      </c>
    </row>
    <row r="7" spans="1:17" s="215" customFormat="1" ht="13.15">
      <c r="A7" s="211">
        <v>2</v>
      </c>
      <c r="B7" s="212" t="s">
        <v>18</v>
      </c>
      <c r="C7" s="163" t="s">
        <v>30</v>
      </c>
      <c r="D7" s="212" t="s">
        <v>20</v>
      </c>
      <c r="E7" s="211" t="s">
        <v>21</v>
      </c>
      <c r="F7" s="213">
        <f>G7/10.764</f>
        <v>15362.876254180603</v>
      </c>
      <c r="G7" s="213">
        <v>165366</v>
      </c>
      <c r="H7" s="211" t="s">
        <v>31</v>
      </c>
      <c r="I7" s="214" t="s">
        <v>32</v>
      </c>
      <c r="J7" s="211" t="s">
        <v>33</v>
      </c>
      <c r="K7" s="211">
        <v>15</v>
      </c>
      <c r="L7" s="212" t="s">
        <v>25</v>
      </c>
      <c r="M7" s="212" t="s">
        <v>26</v>
      </c>
      <c r="N7" s="171" t="s">
        <v>27</v>
      </c>
      <c r="O7" s="171" t="s">
        <v>28</v>
      </c>
      <c r="P7" s="211" t="s">
        <v>29</v>
      </c>
    </row>
    <row r="8" spans="1:17" s="23" customFormat="1" ht="13.15">
      <c r="A8" s="211">
        <v>3</v>
      </c>
      <c r="B8" s="163" t="s">
        <v>18</v>
      </c>
      <c r="C8" s="219" t="s">
        <v>34</v>
      </c>
      <c r="D8" s="163" t="s">
        <v>35</v>
      </c>
      <c r="E8" s="162" t="s">
        <v>36</v>
      </c>
      <c r="F8" s="164">
        <f t="shared" ref="F8:F51" si="0">G8/10.764</f>
        <v>17999.81419546637</v>
      </c>
      <c r="G8" s="164">
        <v>193750</v>
      </c>
      <c r="H8" s="162" t="s">
        <v>37</v>
      </c>
      <c r="I8" s="21" t="s">
        <v>38</v>
      </c>
      <c r="J8" s="162" t="s">
        <v>39</v>
      </c>
      <c r="K8" s="162" t="s">
        <v>40</v>
      </c>
      <c r="L8" s="163" t="s">
        <v>41</v>
      </c>
      <c r="M8" s="163" t="s">
        <v>26</v>
      </c>
      <c r="N8" s="165" t="s">
        <v>41</v>
      </c>
      <c r="O8" s="165" t="s">
        <v>41</v>
      </c>
      <c r="P8" s="162" t="s">
        <v>42</v>
      </c>
    </row>
    <row r="9" spans="1:17" s="23" customFormat="1" ht="13.15">
      <c r="A9" s="211">
        <v>4</v>
      </c>
      <c r="B9" s="163" t="s">
        <v>18</v>
      </c>
      <c r="C9" s="163" t="s">
        <v>43</v>
      </c>
      <c r="D9" s="163" t="s">
        <v>44</v>
      </c>
      <c r="E9" s="162" t="s">
        <v>45</v>
      </c>
      <c r="F9" s="164">
        <f t="shared" si="0"/>
        <v>7246.376811594203</v>
      </c>
      <c r="G9" s="164">
        <v>78000</v>
      </c>
      <c r="H9" s="162" t="s">
        <v>46</v>
      </c>
      <c r="I9" s="21" t="s">
        <v>47</v>
      </c>
      <c r="J9" s="162" t="s">
        <v>48</v>
      </c>
      <c r="K9" s="162">
        <v>10</v>
      </c>
      <c r="L9" s="163" t="s">
        <v>25</v>
      </c>
      <c r="M9" s="163" t="s">
        <v>26</v>
      </c>
      <c r="N9" s="165" t="s">
        <v>49</v>
      </c>
      <c r="O9" s="165" t="s">
        <v>28</v>
      </c>
      <c r="P9" s="162" t="s">
        <v>29</v>
      </c>
    </row>
    <row r="10" spans="1:17" s="23" customFormat="1" ht="13.15">
      <c r="A10" s="211">
        <v>5</v>
      </c>
      <c r="B10" s="163" t="s">
        <v>18</v>
      </c>
      <c r="C10" s="163" t="s">
        <v>50</v>
      </c>
      <c r="D10" s="163" t="s">
        <v>44</v>
      </c>
      <c r="E10" s="162" t="s">
        <v>45</v>
      </c>
      <c r="F10" s="164">
        <f>G10/10.764</f>
        <v>26834.146228167971</v>
      </c>
      <c r="G10" s="164">
        <v>288842.75</v>
      </c>
      <c r="H10" s="162" t="s">
        <v>51</v>
      </c>
      <c r="I10" s="21" t="s">
        <v>23</v>
      </c>
      <c r="J10" s="162" t="s">
        <v>52</v>
      </c>
      <c r="K10" s="162">
        <v>7</v>
      </c>
      <c r="L10" s="163" t="s">
        <v>53</v>
      </c>
      <c r="M10" s="163" t="s">
        <v>54</v>
      </c>
      <c r="N10" s="165"/>
      <c r="O10" s="165" t="s">
        <v>28</v>
      </c>
      <c r="P10" s="162" t="s">
        <v>29</v>
      </c>
    </row>
    <row r="11" spans="1:17" s="23" customFormat="1" ht="13.15">
      <c r="A11" s="211">
        <v>6</v>
      </c>
      <c r="B11" s="163" t="s">
        <v>18</v>
      </c>
      <c r="C11" s="163" t="s">
        <v>55</v>
      </c>
      <c r="D11" s="163" t="s">
        <v>56</v>
      </c>
      <c r="E11" s="162" t="s">
        <v>45</v>
      </c>
      <c r="F11" s="164">
        <f>G11/10.764</f>
        <v>11982.329988851729</v>
      </c>
      <c r="G11" s="164">
        <v>128977.8</v>
      </c>
      <c r="H11" s="162" t="s">
        <v>57</v>
      </c>
      <c r="I11" s="21" t="s">
        <v>23</v>
      </c>
      <c r="J11" s="162" t="s">
        <v>33</v>
      </c>
      <c r="K11" s="162">
        <v>10</v>
      </c>
      <c r="L11" s="163" t="s">
        <v>25</v>
      </c>
      <c r="M11" s="163" t="s">
        <v>26</v>
      </c>
      <c r="N11" s="165" t="s">
        <v>58</v>
      </c>
      <c r="O11" s="165" t="s">
        <v>28</v>
      </c>
      <c r="P11" s="162" t="s">
        <v>29</v>
      </c>
    </row>
    <row r="12" spans="1:17" s="23" customFormat="1" ht="13.15">
      <c r="A12" s="211">
        <v>7</v>
      </c>
      <c r="B12" s="163" t="s">
        <v>18</v>
      </c>
      <c r="C12" s="163" t="s">
        <v>59</v>
      </c>
      <c r="D12" s="163" t="s">
        <v>60</v>
      </c>
      <c r="E12" s="162" t="s">
        <v>61</v>
      </c>
      <c r="F12" s="164">
        <f t="shared" si="0"/>
        <v>12006.410256410258</v>
      </c>
      <c r="G12" s="164">
        <v>129237</v>
      </c>
      <c r="H12" s="162" t="s">
        <v>62</v>
      </c>
      <c r="I12" s="21" t="s">
        <v>63</v>
      </c>
      <c r="J12" s="162" t="s">
        <v>52</v>
      </c>
      <c r="K12" s="162">
        <v>7</v>
      </c>
      <c r="L12" s="163" t="s">
        <v>25</v>
      </c>
      <c r="M12" s="163" t="s">
        <v>54</v>
      </c>
      <c r="N12" s="165" t="s">
        <v>27</v>
      </c>
      <c r="O12" s="165" t="s">
        <v>28</v>
      </c>
      <c r="P12" s="162" t="s">
        <v>29</v>
      </c>
    </row>
    <row r="13" spans="1:17" s="23" customFormat="1" ht="13.15">
      <c r="A13" s="211">
        <v>8</v>
      </c>
      <c r="B13" s="163" t="s">
        <v>18</v>
      </c>
      <c r="C13" s="163" t="s">
        <v>64</v>
      </c>
      <c r="D13" s="163" t="s">
        <v>65</v>
      </c>
      <c r="E13" s="162" t="s">
        <v>61</v>
      </c>
      <c r="F13" s="164">
        <f t="shared" si="0"/>
        <v>3700.0185804533635</v>
      </c>
      <c r="G13" s="164">
        <v>39827</v>
      </c>
      <c r="H13" s="162" t="s">
        <v>66</v>
      </c>
      <c r="I13" s="21" t="s">
        <v>47</v>
      </c>
      <c r="J13" s="162" t="s">
        <v>39</v>
      </c>
      <c r="K13" s="162">
        <v>7</v>
      </c>
      <c r="L13" s="163" t="s">
        <v>25</v>
      </c>
      <c r="M13" s="163" t="s">
        <v>26</v>
      </c>
      <c r="N13" s="165" t="s">
        <v>67</v>
      </c>
      <c r="O13" s="165" t="s">
        <v>28</v>
      </c>
      <c r="P13" s="162" t="s">
        <v>29</v>
      </c>
    </row>
    <row r="14" spans="1:17" s="23" customFormat="1" ht="13.15">
      <c r="A14" s="211">
        <v>9</v>
      </c>
      <c r="B14" s="163" t="s">
        <v>18</v>
      </c>
      <c r="C14" s="163" t="s">
        <v>68</v>
      </c>
      <c r="D14" s="163" t="s">
        <v>60</v>
      </c>
      <c r="E14" s="162" t="s">
        <v>61</v>
      </c>
      <c r="F14" s="164">
        <f t="shared" si="0"/>
        <v>4204.0133779264215</v>
      </c>
      <c r="G14" s="164">
        <v>45252</v>
      </c>
      <c r="H14" s="162" t="s">
        <v>69</v>
      </c>
      <c r="I14" s="21" t="s">
        <v>70</v>
      </c>
      <c r="J14" s="162" t="s">
        <v>39</v>
      </c>
      <c r="K14" s="162">
        <v>10</v>
      </c>
      <c r="L14" s="163" t="s">
        <v>53</v>
      </c>
      <c r="M14" s="163" t="s">
        <v>54</v>
      </c>
      <c r="N14" s="165" t="s">
        <v>27</v>
      </c>
      <c r="O14" s="165" t="s">
        <v>28</v>
      </c>
      <c r="P14" s="162" t="s">
        <v>29</v>
      </c>
    </row>
    <row r="15" spans="1:17" s="23" customFormat="1" ht="13.15">
      <c r="A15" s="211">
        <v>10</v>
      </c>
      <c r="B15" s="163" t="s">
        <v>18</v>
      </c>
      <c r="C15" s="163" t="s">
        <v>68</v>
      </c>
      <c r="D15" s="163" t="s">
        <v>60</v>
      </c>
      <c r="E15" s="162" t="s">
        <v>61</v>
      </c>
      <c r="F15" s="164">
        <f t="shared" si="0"/>
        <v>8107.2092159048689</v>
      </c>
      <c r="G15" s="164">
        <v>87266</v>
      </c>
      <c r="H15" s="162" t="s">
        <v>71</v>
      </c>
      <c r="I15" s="21" t="s">
        <v>70</v>
      </c>
      <c r="J15" s="162" t="s">
        <v>39</v>
      </c>
      <c r="K15" s="162">
        <v>10</v>
      </c>
      <c r="L15" s="163" t="s">
        <v>25</v>
      </c>
      <c r="M15" s="163" t="s">
        <v>54</v>
      </c>
      <c r="N15" s="165" t="s">
        <v>27</v>
      </c>
      <c r="O15" s="165" t="s">
        <v>28</v>
      </c>
      <c r="P15" s="162" t="s">
        <v>29</v>
      </c>
    </row>
    <row r="16" spans="1:17" s="23" customFormat="1" ht="13.15">
      <c r="A16" s="211">
        <v>11</v>
      </c>
      <c r="B16" s="163" t="s">
        <v>18</v>
      </c>
      <c r="C16" s="163" t="s">
        <v>72</v>
      </c>
      <c r="D16" s="163" t="s">
        <v>73</v>
      </c>
      <c r="E16" s="162" t="s">
        <v>74</v>
      </c>
      <c r="F16" s="164">
        <f t="shared" si="0"/>
        <v>5994.7045707915277</v>
      </c>
      <c r="G16" s="164">
        <v>64527</v>
      </c>
      <c r="H16" s="162" t="s">
        <v>75</v>
      </c>
      <c r="I16" s="21" t="s">
        <v>76</v>
      </c>
      <c r="J16" s="162" t="s">
        <v>24</v>
      </c>
      <c r="K16" s="162">
        <v>10</v>
      </c>
      <c r="L16" s="163" t="s">
        <v>25</v>
      </c>
      <c r="M16" s="163" t="s">
        <v>54</v>
      </c>
      <c r="N16" s="165" t="s">
        <v>77</v>
      </c>
      <c r="O16" s="165" t="s">
        <v>28</v>
      </c>
      <c r="P16" s="162" t="s">
        <v>29</v>
      </c>
    </row>
    <row r="17" spans="1:16" s="23" customFormat="1" ht="13.15">
      <c r="A17" s="211">
        <v>12</v>
      </c>
      <c r="B17" s="163" t="s">
        <v>18</v>
      </c>
      <c r="C17" s="163" t="s">
        <v>78</v>
      </c>
      <c r="D17" s="163" t="s">
        <v>79</v>
      </c>
      <c r="E17" s="162" t="s">
        <v>80</v>
      </c>
      <c r="F17" s="164">
        <f t="shared" si="0"/>
        <v>14262.077294685991</v>
      </c>
      <c r="G17" s="164">
        <v>153517</v>
      </c>
      <c r="H17" s="162" t="s">
        <v>81</v>
      </c>
      <c r="I17" s="21" t="s">
        <v>82</v>
      </c>
      <c r="J17" s="162" t="s">
        <v>48</v>
      </c>
      <c r="K17" s="162">
        <v>5</v>
      </c>
      <c r="L17" s="163" t="s">
        <v>53</v>
      </c>
      <c r="M17" s="163" t="s">
        <v>54</v>
      </c>
      <c r="N17" s="165" t="s">
        <v>83</v>
      </c>
      <c r="O17" s="165" t="s">
        <v>28</v>
      </c>
      <c r="P17" s="162" t="s">
        <v>29</v>
      </c>
    </row>
    <row r="18" spans="1:16" s="23" customFormat="1" ht="13.15">
      <c r="A18" s="211">
        <v>13</v>
      </c>
      <c r="B18" s="163" t="s">
        <v>18</v>
      </c>
      <c r="C18" s="163" t="s">
        <v>84</v>
      </c>
      <c r="D18" s="163" t="s">
        <v>85</v>
      </c>
      <c r="E18" s="162" t="s">
        <v>86</v>
      </c>
      <c r="F18" s="164">
        <f t="shared" si="0"/>
        <v>11803.418803418805</v>
      </c>
      <c r="G18" s="164">
        <v>127052</v>
      </c>
      <c r="H18" s="162" t="s">
        <v>87</v>
      </c>
      <c r="I18" s="21" t="s">
        <v>63</v>
      </c>
      <c r="J18" s="162" t="s">
        <v>88</v>
      </c>
      <c r="K18" s="162">
        <v>4</v>
      </c>
      <c r="L18" s="163" t="s">
        <v>53</v>
      </c>
      <c r="M18" s="163" t="s">
        <v>54</v>
      </c>
      <c r="N18" s="165" t="s">
        <v>89</v>
      </c>
      <c r="O18" s="165" t="s">
        <v>28</v>
      </c>
      <c r="P18" s="162" t="s">
        <v>29</v>
      </c>
    </row>
    <row r="19" spans="1:16" s="23" customFormat="1" ht="13.15">
      <c r="A19" s="211">
        <v>14</v>
      </c>
      <c r="B19" s="163" t="s">
        <v>18</v>
      </c>
      <c r="C19" s="163" t="s">
        <v>90</v>
      </c>
      <c r="D19" s="163" t="s">
        <v>91</v>
      </c>
      <c r="E19" s="162" t="s">
        <v>86</v>
      </c>
      <c r="F19" s="164">
        <f t="shared" si="0"/>
        <v>7741.6387959866224</v>
      </c>
      <c r="G19" s="164">
        <v>83331</v>
      </c>
      <c r="H19" s="162" t="s">
        <v>92</v>
      </c>
      <c r="I19" s="21" t="s">
        <v>93</v>
      </c>
      <c r="J19" s="162" t="s">
        <v>24</v>
      </c>
      <c r="K19" s="162">
        <v>4</v>
      </c>
      <c r="L19" s="163" t="s">
        <v>25</v>
      </c>
      <c r="M19" s="163" t="s">
        <v>26</v>
      </c>
      <c r="N19" s="165" t="s">
        <v>27</v>
      </c>
      <c r="O19" s="165" t="s">
        <v>28</v>
      </c>
      <c r="P19" s="162" t="s">
        <v>29</v>
      </c>
    </row>
    <row r="20" spans="1:16" s="23" customFormat="1" ht="13.15">
      <c r="A20" s="211">
        <v>15</v>
      </c>
      <c r="B20" s="163" t="s">
        <v>18</v>
      </c>
      <c r="C20" s="163" t="s">
        <v>90</v>
      </c>
      <c r="D20" s="168" t="s">
        <v>94</v>
      </c>
      <c r="E20" s="167" t="s">
        <v>86</v>
      </c>
      <c r="F20" s="164">
        <f t="shared" si="0"/>
        <v>17005.75994054255</v>
      </c>
      <c r="G20" s="164">
        <v>183050</v>
      </c>
      <c r="H20" s="162" t="s">
        <v>95</v>
      </c>
      <c r="I20" s="21" t="s">
        <v>96</v>
      </c>
      <c r="J20" s="162" t="s">
        <v>24</v>
      </c>
      <c r="K20" s="162">
        <v>10</v>
      </c>
      <c r="L20" s="163" t="s">
        <v>25</v>
      </c>
      <c r="M20" s="163" t="s">
        <v>54</v>
      </c>
      <c r="N20" s="165" t="s">
        <v>27</v>
      </c>
      <c r="O20" s="165" t="s">
        <v>28</v>
      </c>
      <c r="P20" s="162" t="s">
        <v>29</v>
      </c>
    </row>
    <row r="21" spans="1:16" s="23" customFormat="1" ht="13.15">
      <c r="A21" s="211">
        <v>16</v>
      </c>
      <c r="B21" s="163" t="s">
        <v>18</v>
      </c>
      <c r="C21" s="163" t="s">
        <v>97</v>
      </c>
      <c r="D21" s="163" t="s">
        <v>98</v>
      </c>
      <c r="E21" s="162" t="s">
        <v>99</v>
      </c>
      <c r="F21" s="164">
        <f t="shared" si="0"/>
        <v>1476.0312151616499</v>
      </c>
      <c r="G21" s="164">
        <v>15888</v>
      </c>
      <c r="H21" s="162" t="s">
        <v>100</v>
      </c>
      <c r="I21" s="21" t="s">
        <v>47</v>
      </c>
      <c r="J21" s="162" t="s">
        <v>101</v>
      </c>
      <c r="K21" s="162">
        <v>3</v>
      </c>
      <c r="L21" s="163" t="s">
        <v>53</v>
      </c>
      <c r="M21" s="163" t="s">
        <v>26</v>
      </c>
      <c r="N21" s="165" t="s">
        <v>102</v>
      </c>
      <c r="O21" s="165" t="s">
        <v>28</v>
      </c>
      <c r="P21" s="162" t="s">
        <v>29</v>
      </c>
    </row>
    <row r="22" spans="1:16" s="23" customFormat="1" ht="13.15">
      <c r="A22" s="211">
        <v>17</v>
      </c>
      <c r="B22" s="163" t="s">
        <v>18</v>
      </c>
      <c r="C22" s="163" t="s">
        <v>103</v>
      </c>
      <c r="D22" s="163" t="s">
        <v>104</v>
      </c>
      <c r="E22" s="162" t="s">
        <v>99</v>
      </c>
      <c r="F22" s="164">
        <f t="shared" si="0"/>
        <v>1498.9780750650316</v>
      </c>
      <c r="G22" s="164">
        <v>16135</v>
      </c>
      <c r="H22" s="162" t="s">
        <v>105</v>
      </c>
      <c r="I22" s="21" t="s">
        <v>70</v>
      </c>
      <c r="J22" s="162" t="s">
        <v>24</v>
      </c>
      <c r="K22" s="162">
        <v>3</v>
      </c>
      <c r="L22" s="163" t="s">
        <v>25</v>
      </c>
      <c r="M22" s="163" t="s">
        <v>26</v>
      </c>
      <c r="N22" s="165" t="s">
        <v>106</v>
      </c>
      <c r="O22" s="165" t="s">
        <v>28</v>
      </c>
      <c r="P22" s="162" t="s">
        <v>29</v>
      </c>
    </row>
    <row r="23" spans="1:16" s="23" customFormat="1" ht="13.15">
      <c r="A23" s="211">
        <v>18</v>
      </c>
      <c r="B23" s="163" t="s">
        <v>18</v>
      </c>
      <c r="C23" s="163" t="s">
        <v>107</v>
      </c>
      <c r="D23" s="163" t="s">
        <v>108</v>
      </c>
      <c r="E23" s="162" t="s">
        <v>109</v>
      </c>
      <c r="F23" s="164">
        <f t="shared" si="0"/>
        <v>11612.783351913788</v>
      </c>
      <c r="G23" s="164">
        <v>125000</v>
      </c>
      <c r="H23" s="162" t="s">
        <v>110</v>
      </c>
      <c r="I23" s="21" t="s">
        <v>82</v>
      </c>
      <c r="J23" s="162" t="s">
        <v>52</v>
      </c>
      <c r="K23" s="162">
        <v>15</v>
      </c>
      <c r="L23" s="163" t="s">
        <v>25</v>
      </c>
      <c r="M23" s="163" t="s">
        <v>26</v>
      </c>
      <c r="N23" s="165" t="s">
        <v>102</v>
      </c>
      <c r="O23" s="165" t="s">
        <v>28</v>
      </c>
      <c r="P23" s="162" t="s">
        <v>29</v>
      </c>
    </row>
    <row r="24" spans="1:16" s="23" customFormat="1" ht="13.15">
      <c r="A24" s="211">
        <v>19</v>
      </c>
      <c r="B24" s="163" t="s">
        <v>18</v>
      </c>
      <c r="C24" s="163" t="s">
        <v>111</v>
      </c>
      <c r="D24" s="163" t="s">
        <v>112</v>
      </c>
      <c r="E24" s="162" t="s">
        <v>109</v>
      </c>
      <c r="F24" s="164">
        <f t="shared" si="0"/>
        <v>13285.024154589373</v>
      </c>
      <c r="G24" s="164">
        <v>143000</v>
      </c>
      <c r="H24" s="162" t="s">
        <v>113</v>
      </c>
      <c r="I24" s="21" t="s">
        <v>23</v>
      </c>
      <c r="J24" s="162" t="s">
        <v>48</v>
      </c>
      <c r="K24" s="162">
        <v>7</v>
      </c>
      <c r="L24" s="163" t="s">
        <v>53</v>
      </c>
      <c r="M24" s="163" t="s">
        <v>54</v>
      </c>
      <c r="N24" s="165" t="s">
        <v>114</v>
      </c>
      <c r="O24" s="165" t="s">
        <v>28</v>
      </c>
      <c r="P24" s="162" t="s">
        <v>29</v>
      </c>
    </row>
    <row r="25" spans="1:16" s="23" customFormat="1" ht="13.15">
      <c r="A25" s="211">
        <v>20</v>
      </c>
      <c r="B25" s="163" t="s">
        <v>18</v>
      </c>
      <c r="C25" s="163" t="s">
        <v>115</v>
      </c>
      <c r="D25" s="163" t="s">
        <v>116</v>
      </c>
      <c r="E25" s="162" t="s">
        <v>109</v>
      </c>
      <c r="F25" s="164">
        <f t="shared" si="0"/>
        <v>14399.851356373096</v>
      </c>
      <c r="G25" s="164">
        <v>155000</v>
      </c>
      <c r="H25" s="162" t="s">
        <v>31</v>
      </c>
      <c r="I25" s="21" t="s">
        <v>32</v>
      </c>
      <c r="J25" s="162" t="s">
        <v>39</v>
      </c>
      <c r="K25" s="162">
        <v>15</v>
      </c>
      <c r="L25" s="163" t="s">
        <v>25</v>
      </c>
      <c r="M25" s="163" t="s">
        <v>54</v>
      </c>
      <c r="N25" s="165" t="s">
        <v>89</v>
      </c>
      <c r="O25" s="165" t="s">
        <v>28</v>
      </c>
      <c r="P25" s="162" t="s">
        <v>29</v>
      </c>
    </row>
    <row r="26" spans="1:16" s="23" customFormat="1" ht="13.15">
      <c r="A26" s="211">
        <v>21</v>
      </c>
      <c r="B26" s="163" t="s">
        <v>18</v>
      </c>
      <c r="C26" s="163" t="s">
        <v>117</v>
      </c>
      <c r="D26" s="163" t="s">
        <v>116</v>
      </c>
      <c r="E26" s="162" t="s">
        <v>109</v>
      </c>
      <c r="F26" s="164">
        <f t="shared" si="0"/>
        <v>11612.783351913788</v>
      </c>
      <c r="G26" s="164">
        <v>125000</v>
      </c>
      <c r="H26" s="162" t="s">
        <v>113</v>
      </c>
      <c r="I26" s="21" t="s">
        <v>32</v>
      </c>
      <c r="J26" s="162" t="s">
        <v>101</v>
      </c>
      <c r="K26" s="162">
        <v>7</v>
      </c>
      <c r="L26" s="163" t="s">
        <v>118</v>
      </c>
      <c r="M26" s="163" t="s">
        <v>54</v>
      </c>
      <c r="N26" s="165" t="s">
        <v>119</v>
      </c>
      <c r="O26" s="165" t="s">
        <v>28</v>
      </c>
      <c r="P26" s="162" t="s">
        <v>29</v>
      </c>
    </row>
    <row r="27" spans="1:16" s="23" customFormat="1" ht="13.15">
      <c r="A27" s="211">
        <v>22</v>
      </c>
      <c r="B27" s="163" t="s">
        <v>18</v>
      </c>
      <c r="C27" s="163" t="s">
        <v>120</v>
      </c>
      <c r="D27" s="163" t="s">
        <v>121</v>
      </c>
      <c r="E27" s="162" t="s">
        <v>122</v>
      </c>
      <c r="F27" s="164">
        <f t="shared" si="0"/>
        <v>3521.9249349684133</v>
      </c>
      <c r="G27" s="164">
        <v>37910</v>
      </c>
      <c r="H27" s="162" t="s">
        <v>123</v>
      </c>
      <c r="I27" s="21" t="s">
        <v>93</v>
      </c>
      <c r="J27" s="162" t="s">
        <v>124</v>
      </c>
      <c r="K27" s="162">
        <v>3</v>
      </c>
      <c r="L27" s="163" t="s">
        <v>25</v>
      </c>
      <c r="M27" s="163" t="s">
        <v>54</v>
      </c>
      <c r="N27" s="165" t="s">
        <v>125</v>
      </c>
      <c r="O27" s="165" t="s">
        <v>28</v>
      </c>
      <c r="P27" s="162" t="s">
        <v>29</v>
      </c>
    </row>
    <row r="28" spans="1:16" s="23" customFormat="1" ht="13.15">
      <c r="A28" s="211">
        <v>23</v>
      </c>
      <c r="B28" s="163" t="s">
        <v>18</v>
      </c>
      <c r="C28" s="163" t="s">
        <v>126</v>
      </c>
      <c r="D28" s="163" t="s">
        <v>127</v>
      </c>
      <c r="E28" s="162" t="s">
        <v>128</v>
      </c>
      <c r="F28" s="164">
        <f t="shared" si="0"/>
        <v>18727.982162764773</v>
      </c>
      <c r="G28" s="164">
        <v>201588</v>
      </c>
      <c r="H28" s="162" t="s">
        <v>129</v>
      </c>
      <c r="I28" s="21" t="s">
        <v>38</v>
      </c>
      <c r="J28" s="162" t="s">
        <v>130</v>
      </c>
      <c r="K28" s="162">
        <v>10</v>
      </c>
      <c r="L28" s="163" t="s">
        <v>25</v>
      </c>
      <c r="M28" s="163" t="s">
        <v>26</v>
      </c>
      <c r="N28" s="165" t="s">
        <v>27</v>
      </c>
      <c r="O28" s="165" t="s">
        <v>28</v>
      </c>
      <c r="P28" s="162" t="s">
        <v>29</v>
      </c>
    </row>
    <row r="29" spans="1:16" s="23" customFormat="1" ht="13.15">
      <c r="A29" s="211">
        <v>24</v>
      </c>
      <c r="B29" s="163" t="s">
        <v>18</v>
      </c>
      <c r="C29" s="163" t="s">
        <v>131</v>
      </c>
      <c r="D29" s="163" t="s">
        <v>132</v>
      </c>
      <c r="E29" s="162" t="s">
        <v>128</v>
      </c>
      <c r="F29" s="164">
        <f t="shared" si="0"/>
        <v>9847.9189892233371</v>
      </c>
      <c r="G29" s="164">
        <v>106003</v>
      </c>
      <c r="H29" s="162" t="s">
        <v>133</v>
      </c>
      <c r="I29" s="21" t="s">
        <v>70</v>
      </c>
      <c r="J29" s="162" t="s">
        <v>24</v>
      </c>
      <c r="K29" s="162">
        <v>3</v>
      </c>
      <c r="L29" s="163" t="s">
        <v>53</v>
      </c>
      <c r="M29" s="163" t="s">
        <v>54</v>
      </c>
      <c r="N29" s="165" t="s">
        <v>102</v>
      </c>
      <c r="O29" s="165" t="s">
        <v>134</v>
      </c>
      <c r="P29" s="162" t="s">
        <v>42</v>
      </c>
    </row>
    <row r="30" spans="1:16" s="23" customFormat="1" ht="13.15">
      <c r="A30" s="211">
        <v>25</v>
      </c>
      <c r="B30" s="163" t="s">
        <v>18</v>
      </c>
      <c r="C30" s="163" t="s">
        <v>135</v>
      </c>
      <c r="D30" s="163" t="s">
        <v>136</v>
      </c>
      <c r="E30" s="162" t="s">
        <v>128</v>
      </c>
      <c r="F30" s="164">
        <f t="shared" si="0"/>
        <v>4814.9386845039026</v>
      </c>
      <c r="G30" s="164">
        <v>51828</v>
      </c>
      <c r="H30" s="162" t="s">
        <v>137</v>
      </c>
      <c r="I30" s="21" t="s">
        <v>96</v>
      </c>
      <c r="J30" s="162" t="s">
        <v>101</v>
      </c>
      <c r="K30" s="162">
        <v>3</v>
      </c>
      <c r="L30" s="163" t="s">
        <v>53</v>
      </c>
      <c r="M30" s="163" t="s">
        <v>26</v>
      </c>
      <c r="N30" s="165" t="s">
        <v>102</v>
      </c>
      <c r="O30" s="165" t="s">
        <v>134</v>
      </c>
      <c r="P30" s="162" t="s">
        <v>42</v>
      </c>
    </row>
    <row r="31" spans="1:16" s="23" customFormat="1" ht="13.15">
      <c r="A31" s="211">
        <v>26</v>
      </c>
      <c r="B31" s="163" t="s">
        <v>18</v>
      </c>
      <c r="C31" s="163" t="s">
        <v>138</v>
      </c>
      <c r="D31" s="163" t="s">
        <v>108</v>
      </c>
      <c r="E31" s="162" t="s">
        <v>139</v>
      </c>
      <c r="F31" s="164">
        <f t="shared" si="0"/>
        <v>8046.451133407656</v>
      </c>
      <c r="G31" s="164">
        <v>86612</v>
      </c>
      <c r="H31" s="162" t="s">
        <v>140</v>
      </c>
      <c r="I31" s="21" t="s">
        <v>96</v>
      </c>
      <c r="J31" s="162" t="s">
        <v>141</v>
      </c>
      <c r="K31" s="162">
        <v>5</v>
      </c>
      <c r="L31" s="163" t="s">
        <v>25</v>
      </c>
      <c r="M31" s="163" t="s">
        <v>54</v>
      </c>
      <c r="N31" s="165" t="s">
        <v>89</v>
      </c>
      <c r="O31" s="165" t="s">
        <v>28</v>
      </c>
      <c r="P31" s="162" t="s">
        <v>29</v>
      </c>
    </row>
    <row r="32" spans="1:16" s="23" customFormat="1" ht="13.15">
      <c r="A32" s="211">
        <v>27</v>
      </c>
      <c r="B32" s="163" t="s">
        <v>18</v>
      </c>
      <c r="C32" s="163" t="s">
        <v>142</v>
      </c>
      <c r="D32" s="163" t="s">
        <v>143</v>
      </c>
      <c r="E32" s="162" t="s">
        <v>144</v>
      </c>
      <c r="F32" s="164">
        <f t="shared" si="0"/>
        <v>9975.0092902266824</v>
      </c>
      <c r="G32" s="164">
        <v>107371</v>
      </c>
      <c r="H32" s="162" t="s">
        <v>145</v>
      </c>
      <c r="I32" s="21" t="s">
        <v>23</v>
      </c>
      <c r="J32" s="162" t="s">
        <v>146</v>
      </c>
      <c r="K32" s="162">
        <v>7</v>
      </c>
      <c r="L32" s="163" t="s">
        <v>53</v>
      </c>
      <c r="M32" s="163" t="s">
        <v>54</v>
      </c>
      <c r="N32" s="165" t="s">
        <v>102</v>
      </c>
      <c r="O32" s="165" t="s">
        <v>28</v>
      </c>
      <c r="P32" s="162" t="s">
        <v>29</v>
      </c>
    </row>
    <row r="33" spans="1:16" s="23" customFormat="1" ht="13.15">
      <c r="A33" s="211">
        <v>28</v>
      </c>
      <c r="B33" s="163" t="s">
        <v>18</v>
      </c>
      <c r="C33" s="163" t="s">
        <v>147</v>
      </c>
      <c r="D33" s="163" t="s">
        <v>143</v>
      </c>
      <c r="E33" s="162" t="s">
        <v>144</v>
      </c>
      <c r="F33" s="164">
        <f t="shared" si="0"/>
        <v>8425.0278706800455</v>
      </c>
      <c r="G33" s="164">
        <v>90687</v>
      </c>
      <c r="H33" s="162" t="s">
        <v>145</v>
      </c>
      <c r="I33" s="21" t="s">
        <v>23</v>
      </c>
      <c r="J33" s="162" t="s">
        <v>101</v>
      </c>
      <c r="K33" s="162">
        <v>7</v>
      </c>
      <c r="L33" s="163" t="s">
        <v>53</v>
      </c>
      <c r="M33" s="163" t="s">
        <v>54</v>
      </c>
      <c r="N33" s="165" t="s">
        <v>67</v>
      </c>
      <c r="O33" s="165" t="s">
        <v>28</v>
      </c>
      <c r="P33" s="162" t="s">
        <v>29</v>
      </c>
    </row>
    <row r="34" spans="1:16" s="23" customFormat="1" ht="13.15">
      <c r="A34" s="211">
        <v>29</v>
      </c>
      <c r="B34" s="163" t="s">
        <v>18</v>
      </c>
      <c r="C34" s="163" t="s">
        <v>148</v>
      </c>
      <c r="D34" s="163" t="s">
        <v>149</v>
      </c>
      <c r="E34" s="162" t="s">
        <v>150</v>
      </c>
      <c r="F34" s="164">
        <f t="shared" si="0"/>
        <v>61178.836863619479</v>
      </c>
      <c r="G34" s="164">
        <v>658529</v>
      </c>
      <c r="H34" s="162" t="s">
        <v>31</v>
      </c>
      <c r="I34" s="21" t="s">
        <v>38</v>
      </c>
      <c r="J34" s="162" t="s">
        <v>101</v>
      </c>
      <c r="K34" s="162">
        <v>15</v>
      </c>
      <c r="L34" s="163" t="s">
        <v>25</v>
      </c>
      <c r="M34" s="163" t="s">
        <v>26</v>
      </c>
      <c r="N34" s="165" t="s">
        <v>27</v>
      </c>
      <c r="O34" s="165" t="s">
        <v>28</v>
      </c>
      <c r="P34" s="162" t="s">
        <v>29</v>
      </c>
    </row>
    <row r="35" spans="1:16" s="23" customFormat="1" ht="13.15">
      <c r="A35" s="211">
        <v>30</v>
      </c>
      <c r="B35" s="163" t="s">
        <v>18</v>
      </c>
      <c r="C35" s="163" t="s">
        <v>151</v>
      </c>
      <c r="D35" s="163" t="s">
        <v>152</v>
      </c>
      <c r="E35" s="162" t="s">
        <v>153</v>
      </c>
      <c r="F35" s="164">
        <f t="shared" si="0"/>
        <v>6336.0274990709777</v>
      </c>
      <c r="G35" s="164">
        <v>68201</v>
      </c>
      <c r="H35" s="162" t="s">
        <v>154</v>
      </c>
      <c r="I35" s="21" t="s">
        <v>63</v>
      </c>
      <c r="J35" s="162" t="s">
        <v>24</v>
      </c>
      <c r="K35" s="162">
        <v>3</v>
      </c>
      <c r="L35" s="163" t="s">
        <v>53</v>
      </c>
      <c r="M35" s="163" t="s">
        <v>54</v>
      </c>
      <c r="N35" s="165" t="s">
        <v>102</v>
      </c>
      <c r="O35" s="165" t="s">
        <v>134</v>
      </c>
      <c r="P35" s="162" t="s">
        <v>29</v>
      </c>
    </row>
    <row r="36" spans="1:16" s="23" customFormat="1" ht="13.15">
      <c r="A36" s="211">
        <v>31</v>
      </c>
      <c r="B36" s="163" t="s">
        <v>18</v>
      </c>
      <c r="C36" s="163" t="s">
        <v>155</v>
      </c>
      <c r="D36" s="163" t="s">
        <v>156</v>
      </c>
      <c r="E36" s="162" t="s">
        <v>153</v>
      </c>
      <c r="F36" s="164">
        <f t="shared" si="0"/>
        <v>8639.9108138238571</v>
      </c>
      <c r="G36" s="164">
        <v>93000</v>
      </c>
      <c r="H36" s="162" t="s">
        <v>31</v>
      </c>
      <c r="I36" s="21" t="s">
        <v>76</v>
      </c>
      <c r="J36" s="162" t="s">
        <v>157</v>
      </c>
      <c r="K36" s="162" t="s">
        <v>41</v>
      </c>
      <c r="L36" s="163" t="s">
        <v>25</v>
      </c>
      <c r="M36" s="163" t="s">
        <v>26</v>
      </c>
      <c r="N36" s="165" t="s">
        <v>27</v>
      </c>
      <c r="O36" s="165" t="s">
        <v>28</v>
      </c>
      <c r="P36" s="162" t="s">
        <v>29</v>
      </c>
    </row>
    <row r="37" spans="1:16" s="23" customFormat="1" ht="13.15">
      <c r="A37" s="211">
        <v>32</v>
      </c>
      <c r="B37" s="163" t="s">
        <v>18</v>
      </c>
      <c r="C37" s="163" t="s">
        <v>158</v>
      </c>
      <c r="D37" s="163" t="s">
        <v>152</v>
      </c>
      <c r="E37" s="162" t="s">
        <v>153</v>
      </c>
      <c r="F37" s="164">
        <f t="shared" si="0"/>
        <v>7500.0000000000009</v>
      </c>
      <c r="G37" s="164">
        <v>80730</v>
      </c>
      <c r="H37" s="162" t="s">
        <v>159</v>
      </c>
      <c r="I37" s="21" t="s">
        <v>160</v>
      </c>
      <c r="J37" s="162" t="s">
        <v>33</v>
      </c>
      <c r="K37" s="162">
        <v>7</v>
      </c>
      <c r="L37" s="163" t="s">
        <v>53</v>
      </c>
      <c r="M37" s="163" t="s">
        <v>54</v>
      </c>
      <c r="N37" s="165" t="s">
        <v>27</v>
      </c>
      <c r="O37" s="165" t="s">
        <v>28</v>
      </c>
      <c r="P37" s="162" t="s">
        <v>29</v>
      </c>
    </row>
    <row r="38" spans="1:16" s="23" customFormat="1" ht="13.15">
      <c r="A38" s="211">
        <v>33</v>
      </c>
      <c r="B38" s="163" t="s">
        <v>18</v>
      </c>
      <c r="C38" s="163" t="s">
        <v>161</v>
      </c>
      <c r="D38" s="163" t="s">
        <v>162</v>
      </c>
      <c r="E38" s="162" t="s">
        <v>163</v>
      </c>
      <c r="F38" s="164">
        <f t="shared" si="0"/>
        <v>1575.9940542549239</v>
      </c>
      <c r="G38" s="164">
        <v>16964</v>
      </c>
      <c r="H38" s="162" t="s">
        <v>164</v>
      </c>
      <c r="I38" s="21" t="s">
        <v>96</v>
      </c>
      <c r="J38" s="162" t="s">
        <v>24</v>
      </c>
      <c r="K38" s="162">
        <v>3</v>
      </c>
      <c r="L38" s="163" t="s">
        <v>25</v>
      </c>
      <c r="M38" s="163" t="s">
        <v>165</v>
      </c>
      <c r="N38" s="165" t="s">
        <v>77</v>
      </c>
      <c r="O38" s="165" t="s">
        <v>28</v>
      </c>
      <c r="P38" s="162" t="s">
        <v>29</v>
      </c>
    </row>
    <row r="39" spans="1:16" s="23" customFormat="1" ht="13.15">
      <c r="A39" s="211">
        <v>34</v>
      </c>
      <c r="B39" s="163" t="s">
        <v>18</v>
      </c>
      <c r="C39" s="163" t="s">
        <v>166</v>
      </c>
      <c r="D39" s="163" t="s">
        <v>162</v>
      </c>
      <c r="E39" s="162" t="s">
        <v>163</v>
      </c>
      <c r="F39" s="164">
        <f t="shared" si="0"/>
        <v>1687.4767744332962</v>
      </c>
      <c r="G39" s="164">
        <v>18164</v>
      </c>
      <c r="H39" s="162" t="s">
        <v>167</v>
      </c>
      <c r="I39" s="21" t="s">
        <v>82</v>
      </c>
      <c r="J39" s="162" t="s">
        <v>39</v>
      </c>
      <c r="K39" s="162">
        <v>3</v>
      </c>
      <c r="L39" s="163" t="s">
        <v>25</v>
      </c>
      <c r="M39" s="163" t="s">
        <v>168</v>
      </c>
      <c r="N39" s="165" t="s">
        <v>27</v>
      </c>
      <c r="O39" s="165" t="s">
        <v>28</v>
      </c>
      <c r="P39" s="162" t="s">
        <v>29</v>
      </c>
    </row>
    <row r="40" spans="1:16" s="23" customFormat="1" ht="13.15">
      <c r="A40" s="211">
        <v>35</v>
      </c>
      <c r="B40" s="163" t="s">
        <v>18</v>
      </c>
      <c r="C40" s="163" t="s">
        <v>169</v>
      </c>
      <c r="D40" s="163" t="s">
        <v>162</v>
      </c>
      <c r="E40" s="162" t="s">
        <v>163</v>
      </c>
      <c r="F40" s="164">
        <f t="shared" si="0"/>
        <v>1687.4767744332962</v>
      </c>
      <c r="G40" s="164">
        <v>18164</v>
      </c>
      <c r="H40" s="162" t="s">
        <v>170</v>
      </c>
      <c r="I40" s="21" t="s">
        <v>82</v>
      </c>
      <c r="J40" s="162" t="s">
        <v>171</v>
      </c>
      <c r="K40" s="162">
        <v>3</v>
      </c>
      <c r="L40" s="163" t="s">
        <v>53</v>
      </c>
      <c r="M40" s="163" t="s">
        <v>26</v>
      </c>
      <c r="N40" s="165" t="s">
        <v>27</v>
      </c>
      <c r="O40" s="165" t="s">
        <v>28</v>
      </c>
      <c r="P40" s="162" t="s">
        <v>29</v>
      </c>
    </row>
    <row r="41" spans="1:16" s="23" customFormat="1" ht="13.15">
      <c r="A41" s="211">
        <v>36</v>
      </c>
      <c r="B41" s="163" t="s">
        <v>18</v>
      </c>
      <c r="C41" s="163" t="s">
        <v>172</v>
      </c>
      <c r="D41" s="163" t="s">
        <v>162</v>
      </c>
      <c r="E41" s="162" t="s">
        <v>163</v>
      </c>
      <c r="F41" s="164">
        <f t="shared" si="0"/>
        <v>17961.724266072095</v>
      </c>
      <c r="G41" s="164">
        <v>193340</v>
      </c>
      <c r="H41" s="162" t="s">
        <v>173</v>
      </c>
      <c r="I41" s="21" t="s">
        <v>82</v>
      </c>
      <c r="J41" s="162" t="s">
        <v>48</v>
      </c>
      <c r="K41" s="162">
        <v>10</v>
      </c>
      <c r="L41" s="163" t="s">
        <v>25</v>
      </c>
      <c r="M41" s="163" t="s">
        <v>26</v>
      </c>
      <c r="N41" s="165" t="s">
        <v>174</v>
      </c>
      <c r="O41" s="165" t="s">
        <v>28</v>
      </c>
      <c r="P41" s="162" t="s">
        <v>29</v>
      </c>
    </row>
    <row r="42" spans="1:16" s="23" customFormat="1" ht="13.15">
      <c r="A42" s="211">
        <v>37</v>
      </c>
      <c r="B42" s="163" t="s">
        <v>18</v>
      </c>
      <c r="C42" s="163" t="s">
        <v>175</v>
      </c>
      <c r="D42" s="163" t="s">
        <v>162</v>
      </c>
      <c r="E42" s="162" t="s">
        <v>163</v>
      </c>
      <c r="F42" s="164">
        <f t="shared" si="0"/>
        <v>3011.612783351914</v>
      </c>
      <c r="G42" s="164">
        <v>32417</v>
      </c>
      <c r="H42" s="162" t="s">
        <v>176</v>
      </c>
      <c r="I42" s="21" t="s">
        <v>82</v>
      </c>
      <c r="J42" s="162" t="s">
        <v>157</v>
      </c>
      <c r="K42" s="162">
        <v>5</v>
      </c>
      <c r="L42" s="163" t="s">
        <v>25</v>
      </c>
      <c r="M42" s="163" t="s">
        <v>54</v>
      </c>
      <c r="N42" s="165" t="s">
        <v>27</v>
      </c>
      <c r="O42" s="165" t="s">
        <v>28</v>
      </c>
      <c r="P42" s="162" t="s">
        <v>29</v>
      </c>
    </row>
    <row r="43" spans="1:16" s="23" customFormat="1" ht="13.15">
      <c r="A43" s="211">
        <v>38</v>
      </c>
      <c r="B43" s="163" t="s">
        <v>18</v>
      </c>
      <c r="C43" s="163" t="s">
        <v>177</v>
      </c>
      <c r="D43" s="163" t="s">
        <v>162</v>
      </c>
      <c r="E43" s="162" t="s">
        <v>163</v>
      </c>
      <c r="F43" s="164">
        <f t="shared" si="0"/>
        <v>10697.13861018209</v>
      </c>
      <c r="G43" s="164">
        <v>115144</v>
      </c>
      <c r="H43" s="162" t="s">
        <v>178</v>
      </c>
      <c r="I43" s="21" t="s">
        <v>82</v>
      </c>
      <c r="J43" s="162" t="s">
        <v>39</v>
      </c>
      <c r="K43" s="162">
        <v>5</v>
      </c>
      <c r="L43" s="163" t="s">
        <v>25</v>
      </c>
      <c r="M43" s="163" t="s">
        <v>26</v>
      </c>
      <c r="N43" s="165" t="s">
        <v>179</v>
      </c>
      <c r="O43" s="165" t="s">
        <v>28</v>
      </c>
      <c r="P43" s="162" t="s">
        <v>42</v>
      </c>
    </row>
    <row r="44" spans="1:16" s="23" customFormat="1" ht="13.15">
      <c r="A44" s="211">
        <v>39</v>
      </c>
      <c r="B44" s="163" t="s">
        <v>18</v>
      </c>
      <c r="C44" s="163" t="s">
        <v>172</v>
      </c>
      <c r="D44" s="163" t="s">
        <v>162</v>
      </c>
      <c r="E44" s="162" t="s">
        <v>163</v>
      </c>
      <c r="F44" s="164">
        <f t="shared" si="0"/>
        <v>4866.8710516536603</v>
      </c>
      <c r="G44" s="164">
        <v>52387</v>
      </c>
      <c r="H44" s="162" t="s">
        <v>173</v>
      </c>
      <c r="I44" s="21" t="s">
        <v>32</v>
      </c>
      <c r="J44" s="162" t="s">
        <v>48</v>
      </c>
      <c r="K44" s="162">
        <v>5</v>
      </c>
      <c r="L44" s="163" t="s">
        <v>25</v>
      </c>
      <c r="M44" s="163" t="s">
        <v>54</v>
      </c>
      <c r="N44" s="165" t="s">
        <v>174</v>
      </c>
      <c r="O44" s="165" t="s">
        <v>28</v>
      </c>
      <c r="P44" s="162" t="s">
        <v>29</v>
      </c>
    </row>
    <row r="45" spans="1:16" s="23" customFormat="1" ht="13.15">
      <c r="A45" s="211">
        <v>40</v>
      </c>
      <c r="B45" s="163" t="s">
        <v>18</v>
      </c>
      <c r="C45" s="163" t="s">
        <v>175</v>
      </c>
      <c r="D45" s="163" t="s">
        <v>162</v>
      </c>
      <c r="E45" s="162" t="s">
        <v>163</v>
      </c>
      <c r="F45" s="164">
        <f t="shared" si="0"/>
        <v>2296.6369379412859</v>
      </c>
      <c r="G45" s="164">
        <v>24721</v>
      </c>
      <c r="H45" s="162" t="s">
        <v>180</v>
      </c>
      <c r="I45" s="21" t="s">
        <v>32</v>
      </c>
      <c r="J45" s="162" t="s">
        <v>157</v>
      </c>
      <c r="K45" s="162">
        <v>5</v>
      </c>
      <c r="L45" s="163" t="s">
        <v>25</v>
      </c>
      <c r="M45" s="163" t="s">
        <v>54</v>
      </c>
      <c r="N45" s="165" t="s">
        <v>179</v>
      </c>
      <c r="O45" s="165" t="s">
        <v>28</v>
      </c>
      <c r="P45" s="162" t="s">
        <v>29</v>
      </c>
    </row>
    <row r="46" spans="1:16" s="23" customFormat="1" ht="13.15">
      <c r="A46" s="211">
        <v>41</v>
      </c>
      <c r="B46" s="163" t="s">
        <v>18</v>
      </c>
      <c r="C46" s="163" t="s">
        <v>181</v>
      </c>
      <c r="D46" s="163" t="s">
        <v>182</v>
      </c>
      <c r="E46" s="162" t="s">
        <v>183</v>
      </c>
      <c r="F46" s="164">
        <f t="shared" si="0"/>
        <v>24213.953920475662</v>
      </c>
      <c r="G46" s="164">
        <v>260639</v>
      </c>
      <c r="H46" s="162" t="s">
        <v>184</v>
      </c>
      <c r="I46" s="21" t="s">
        <v>47</v>
      </c>
      <c r="J46" s="162" t="s">
        <v>24</v>
      </c>
      <c r="K46" s="162">
        <v>7</v>
      </c>
      <c r="L46" s="163" t="s">
        <v>25</v>
      </c>
      <c r="M46" s="163" t="s">
        <v>26</v>
      </c>
      <c r="N46" s="165" t="s">
        <v>77</v>
      </c>
      <c r="O46" s="165" t="s">
        <v>28</v>
      </c>
      <c r="P46" s="162" t="s">
        <v>29</v>
      </c>
    </row>
    <row r="47" spans="1:16" s="23" customFormat="1" ht="13.15">
      <c r="A47" s="211">
        <v>42</v>
      </c>
      <c r="B47" s="163" t="s">
        <v>18</v>
      </c>
      <c r="C47" s="163" t="s">
        <v>181</v>
      </c>
      <c r="D47" s="163" t="s">
        <v>182</v>
      </c>
      <c r="E47" s="162" t="s">
        <v>183</v>
      </c>
      <c r="F47" s="164">
        <f t="shared" si="0"/>
        <v>12684.039390561131</v>
      </c>
      <c r="G47" s="164">
        <v>136531</v>
      </c>
      <c r="H47" s="162" t="s">
        <v>185</v>
      </c>
      <c r="I47" s="21" t="s">
        <v>47</v>
      </c>
      <c r="J47" s="162" t="s">
        <v>24</v>
      </c>
      <c r="K47" s="162">
        <v>7</v>
      </c>
      <c r="L47" s="163" t="s">
        <v>25</v>
      </c>
      <c r="M47" s="163" t="s">
        <v>26</v>
      </c>
      <c r="N47" s="165" t="s">
        <v>77</v>
      </c>
      <c r="O47" s="165" t="s">
        <v>28</v>
      </c>
      <c r="P47" s="162" t="s">
        <v>29</v>
      </c>
    </row>
    <row r="48" spans="1:16" s="23" customFormat="1" ht="13.15">
      <c r="A48" s="211">
        <v>43</v>
      </c>
      <c r="B48" s="163" t="s">
        <v>18</v>
      </c>
      <c r="C48" s="163" t="s">
        <v>186</v>
      </c>
      <c r="D48" s="163" t="s">
        <v>187</v>
      </c>
      <c r="E48" s="162" t="s">
        <v>183</v>
      </c>
      <c r="F48" s="164">
        <f t="shared" si="0"/>
        <v>10435.990338164253</v>
      </c>
      <c r="G48" s="164">
        <v>112333</v>
      </c>
      <c r="H48" s="162" t="s">
        <v>188</v>
      </c>
      <c r="I48" s="21" t="s">
        <v>96</v>
      </c>
      <c r="J48" s="162" t="s">
        <v>189</v>
      </c>
      <c r="K48" s="162">
        <v>10</v>
      </c>
      <c r="L48" s="163" t="s">
        <v>118</v>
      </c>
      <c r="M48" s="163" t="s">
        <v>26</v>
      </c>
      <c r="N48" s="165" t="s">
        <v>77</v>
      </c>
      <c r="O48" s="165" t="s">
        <v>28</v>
      </c>
      <c r="P48" s="162" t="s">
        <v>29</v>
      </c>
    </row>
    <row r="49" spans="1:17" s="23" customFormat="1" ht="13.15">
      <c r="A49" s="211">
        <v>44</v>
      </c>
      <c r="B49" s="163" t="s">
        <v>18</v>
      </c>
      <c r="C49" s="163" t="s">
        <v>190</v>
      </c>
      <c r="D49" s="163" t="s">
        <v>187</v>
      </c>
      <c r="E49" s="162" t="s">
        <v>183</v>
      </c>
      <c r="F49" s="164">
        <f t="shared" si="0"/>
        <v>6200.018580453363</v>
      </c>
      <c r="G49" s="164">
        <v>66737</v>
      </c>
      <c r="H49" s="162" t="s">
        <v>31</v>
      </c>
      <c r="I49" s="21" t="s">
        <v>23</v>
      </c>
      <c r="J49" s="162" t="s">
        <v>171</v>
      </c>
      <c r="K49" s="162">
        <v>5</v>
      </c>
      <c r="L49" s="163" t="s">
        <v>53</v>
      </c>
      <c r="M49" s="163" t="s">
        <v>54</v>
      </c>
      <c r="N49" s="165" t="s">
        <v>102</v>
      </c>
      <c r="O49" s="165" t="s">
        <v>134</v>
      </c>
      <c r="P49" s="162" t="s">
        <v>29</v>
      </c>
    </row>
    <row r="50" spans="1:17" s="23" customFormat="1" ht="13.15">
      <c r="A50" s="211">
        <v>45</v>
      </c>
      <c r="B50" s="163" t="s">
        <v>18</v>
      </c>
      <c r="C50" s="163" t="s">
        <v>191</v>
      </c>
      <c r="D50" s="163" t="s">
        <v>187</v>
      </c>
      <c r="E50" s="162" t="s">
        <v>183</v>
      </c>
      <c r="F50" s="164">
        <f t="shared" si="0"/>
        <v>10435.990338164253</v>
      </c>
      <c r="G50" s="164">
        <v>112333</v>
      </c>
      <c r="H50" s="162" t="s">
        <v>192</v>
      </c>
      <c r="I50" s="21" t="s">
        <v>32</v>
      </c>
      <c r="J50" s="162" t="s">
        <v>171</v>
      </c>
      <c r="K50" s="162">
        <v>7</v>
      </c>
      <c r="L50" s="163" t="s">
        <v>53</v>
      </c>
      <c r="M50" s="163" t="s">
        <v>26</v>
      </c>
      <c r="N50" s="165" t="s">
        <v>102</v>
      </c>
      <c r="O50" s="165" t="s">
        <v>134</v>
      </c>
      <c r="P50" s="162" t="s">
        <v>29</v>
      </c>
    </row>
    <row r="51" spans="1:17" s="23" customFormat="1" ht="13.15">
      <c r="A51" s="211">
        <v>46</v>
      </c>
      <c r="B51" s="163" t="s">
        <v>18</v>
      </c>
      <c r="C51" s="168" t="s">
        <v>193</v>
      </c>
      <c r="D51" s="163" t="s">
        <v>182</v>
      </c>
      <c r="E51" s="162" t="s">
        <v>183</v>
      </c>
      <c r="F51" s="164">
        <f t="shared" si="0"/>
        <v>19836.863619472315</v>
      </c>
      <c r="G51" s="164">
        <v>213524</v>
      </c>
      <c r="H51" s="162" t="s">
        <v>194</v>
      </c>
      <c r="I51" s="21" t="s">
        <v>32</v>
      </c>
      <c r="J51" s="162" t="s">
        <v>171</v>
      </c>
      <c r="K51" s="162">
        <v>6</v>
      </c>
      <c r="L51" s="163" t="s">
        <v>25</v>
      </c>
      <c r="M51" s="163" t="s">
        <v>26</v>
      </c>
      <c r="N51" s="165" t="s">
        <v>77</v>
      </c>
      <c r="O51" s="165" t="s">
        <v>28</v>
      </c>
      <c r="P51" s="162" t="s">
        <v>29</v>
      </c>
    </row>
    <row r="52" spans="1:17" s="26" customFormat="1" ht="12.75" customHeight="1">
      <c r="A52" s="222" t="s">
        <v>195</v>
      </c>
      <c r="B52" s="222"/>
      <c r="C52" s="222"/>
      <c r="D52" s="222"/>
      <c r="E52" s="222"/>
      <c r="F52" s="24">
        <f>SUM(F6:F51)</f>
        <v>511474.70549981407</v>
      </c>
      <c r="G52" s="223">
        <f>SUM(G6:G51)</f>
        <v>5505513.7300000004</v>
      </c>
      <c r="H52" s="223"/>
      <c r="I52" s="223"/>
      <c r="J52" s="223"/>
      <c r="K52" s="223"/>
      <c r="L52" s="223"/>
      <c r="M52" s="210"/>
      <c r="N52" s="210"/>
      <c r="O52" s="25"/>
      <c r="P52" s="210"/>
    </row>
    <row r="53" spans="1:17" s="29" customFormat="1" ht="18.75" customHeight="1">
      <c r="A53" s="16" t="s">
        <v>196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27"/>
      <c r="Q53" s="28"/>
    </row>
    <row r="54" spans="1:17" s="26" customFormat="1" ht="12.75" customHeight="1">
      <c r="A54" s="167">
        <v>1</v>
      </c>
      <c r="B54" s="165" t="s">
        <v>197</v>
      </c>
      <c r="C54" s="168" t="s">
        <v>175</v>
      </c>
      <c r="D54" s="168" t="s">
        <v>198</v>
      </c>
      <c r="E54" s="166" t="s">
        <v>74</v>
      </c>
      <c r="F54" s="166">
        <f>G54/10.764</f>
        <v>28262.356001486438</v>
      </c>
      <c r="G54" s="166">
        <v>304216</v>
      </c>
      <c r="H54" s="167" t="s">
        <v>31</v>
      </c>
      <c r="I54" s="150" t="s">
        <v>63</v>
      </c>
      <c r="J54" s="151" t="s">
        <v>157</v>
      </c>
      <c r="K54" s="167">
        <v>10</v>
      </c>
      <c r="L54" s="168" t="s">
        <v>25</v>
      </c>
      <c r="M54" s="30" t="s">
        <v>54</v>
      </c>
      <c r="N54" s="30" t="s">
        <v>27</v>
      </c>
      <c r="O54" s="31" t="s">
        <v>28</v>
      </c>
      <c r="P54" s="166" t="s">
        <v>29</v>
      </c>
    </row>
    <row r="55" spans="1:17" s="26" customFormat="1" ht="12.75" customHeight="1">
      <c r="A55" s="167">
        <v>2</v>
      </c>
      <c r="B55" s="165" t="s">
        <v>197</v>
      </c>
      <c r="C55" s="168" t="s">
        <v>199</v>
      </c>
      <c r="D55" s="168" t="s">
        <v>198</v>
      </c>
      <c r="E55" s="166" t="s">
        <v>74</v>
      </c>
      <c r="F55" s="166">
        <f>G55/10.764</f>
        <v>25632.107023411372</v>
      </c>
      <c r="G55" s="166">
        <v>275904</v>
      </c>
      <c r="H55" s="167" t="s">
        <v>31</v>
      </c>
      <c r="I55" s="150" t="s">
        <v>23</v>
      </c>
      <c r="J55" s="151" t="s">
        <v>24</v>
      </c>
      <c r="K55" s="167">
        <v>10</v>
      </c>
      <c r="L55" s="168" t="s">
        <v>25</v>
      </c>
      <c r="M55" s="30" t="s">
        <v>26</v>
      </c>
      <c r="N55" s="30" t="s">
        <v>27</v>
      </c>
      <c r="O55" s="31" t="s">
        <v>28</v>
      </c>
      <c r="P55" s="166" t="s">
        <v>29</v>
      </c>
    </row>
    <row r="56" spans="1:17" s="26" customFormat="1" ht="12.75" customHeight="1">
      <c r="A56" s="167">
        <v>3</v>
      </c>
      <c r="B56" s="165" t="s">
        <v>197</v>
      </c>
      <c r="C56" s="168" t="s">
        <v>200</v>
      </c>
      <c r="D56" s="168" t="s">
        <v>201</v>
      </c>
      <c r="E56" s="166" t="s">
        <v>202</v>
      </c>
      <c r="F56" s="166">
        <f>G56/10.764</f>
        <v>30193.979933110371</v>
      </c>
      <c r="G56" s="166">
        <v>325008</v>
      </c>
      <c r="H56" s="167" t="s">
        <v>203</v>
      </c>
      <c r="I56" s="150" t="s">
        <v>32</v>
      </c>
      <c r="J56" s="151" t="s">
        <v>171</v>
      </c>
      <c r="K56" s="167">
        <v>5</v>
      </c>
      <c r="L56" s="168" t="s">
        <v>25</v>
      </c>
      <c r="M56" s="30" t="s">
        <v>26</v>
      </c>
      <c r="N56" s="30" t="s">
        <v>77</v>
      </c>
      <c r="O56" s="31" t="s">
        <v>28</v>
      </c>
      <c r="P56" s="166" t="s">
        <v>29</v>
      </c>
    </row>
    <row r="57" spans="1:17" s="26" customFormat="1" ht="12.75" customHeight="1">
      <c r="A57" s="167">
        <v>4</v>
      </c>
      <c r="B57" s="165" t="s">
        <v>197</v>
      </c>
      <c r="C57" s="165" t="s">
        <v>204</v>
      </c>
      <c r="D57" s="168" t="s">
        <v>205</v>
      </c>
      <c r="E57" s="166" t="s">
        <v>206</v>
      </c>
      <c r="F57" s="166">
        <f>G57/10.764</f>
        <v>26799.981419546639</v>
      </c>
      <c r="G57" s="166">
        <v>288475</v>
      </c>
      <c r="H57" s="167" t="s">
        <v>207</v>
      </c>
      <c r="I57" s="150" t="s">
        <v>76</v>
      </c>
      <c r="J57" s="151" t="s">
        <v>39</v>
      </c>
      <c r="K57" s="167">
        <v>10</v>
      </c>
      <c r="L57" s="168" t="s">
        <v>53</v>
      </c>
      <c r="M57" s="30" t="s">
        <v>208</v>
      </c>
      <c r="N57" s="30" t="s">
        <v>27</v>
      </c>
      <c r="O57" s="31" t="s">
        <v>28</v>
      </c>
      <c r="P57" s="166" t="s">
        <v>29</v>
      </c>
    </row>
    <row r="58" spans="1:17" s="26" customFormat="1" ht="12.75" customHeight="1">
      <c r="A58" s="167">
        <v>5</v>
      </c>
      <c r="B58" s="165" t="s">
        <v>197</v>
      </c>
      <c r="C58" s="165" t="s">
        <v>209</v>
      </c>
      <c r="D58" s="168" t="s">
        <v>210</v>
      </c>
      <c r="E58" s="166" t="s">
        <v>183</v>
      </c>
      <c r="F58" s="166">
        <f>G58/10.764</f>
        <v>10796.079524340395</v>
      </c>
      <c r="G58" s="166">
        <v>116209</v>
      </c>
      <c r="H58" s="167" t="s">
        <v>211</v>
      </c>
      <c r="I58" s="150" t="s">
        <v>32</v>
      </c>
      <c r="J58" s="151" t="s">
        <v>24</v>
      </c>
      <c r="K58" s="167">
        <v>8</v>
      </c>
      <c r="L58" s="168" t="s">
        <v>25</v>
      </c>
      <c r="M58" s="30" t="s">
        <v>26</v>
      </c>
      <c r="N58" s="30" t="s">
        <v>77</v>
      </c>
      <c r="O58" s="31" t="s">
        <v>28</v>
      </c>
      <c r="P58" s="166" t="s">
        <v>29</v>
      </c>
    </row>
    <row r="59" spans="1:17" s="26" customFormat="1" ht="12.75" customHeight="1">
      <c r="A59" s="222" t="s">
        <v>212</v>
      </c>
      <c r="B59" s="222"/>
      <c r="C59" s="222"/>
      <c r="D59" s="222"/>
      <c r="E59" s="222"/>
      <c r="F59" s="24">
        <f>SUM(F54:F58)</f>
        <v>121684.50390189522</v>
      </c>
      <c r="G59" s="223">
        <f>SUM(G54:G58)</f>
        <v>1309812</v>
      </c>
      <c r="H59" s="223"/>
      <c r="I59" s="223"/>
      <c r="J59" s="223"/>
      <c r="K59" s="223"/>
      <c r="L59" s="223"/>
      <c r="M59" s="210"/>
      <c r="N59" s="210"/>
      <c r="O59" s="25"/>
      <c r="P59" s="210"/>
    </row>
    <row r="60" spans="1:17" s="32" customFormat="1" ht="19.5" customHeight="1">
      <c r="A60" s="16" t="s">
        <v>213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27"/>
    </row>
    <row r="61" spans="1:17" s="23" customFormat="1" ht="12.75" customHeight="1">
      <c r="A61" s="169">
        <v>1</v>
      </c>
      <c r="B61" s="154" t="s">
        <v>214</v>
      </c>
      <c r="C61" s="163" t="s">
        <v>215</v>
      </c>
      <c r="D61" s="163" t="s">
        <v>216</v>
      </c>
      <c r="E61" s="162" t="s">
        <v>217</v>
      </c>
      <c r="F61" s="164">
        <f>G61/10.764</f>
        <v>14070.884429580083</v>
      </c>
      <c r="G61" s="164">
        <v>151459</v>
      </c>
      <c r="H61" s="167" t="s">
        <v>218</v>
      </c>
      <c r="I61" s="170" t="s">
        <v>47</v>
      </c>
      <c r="J61" s="151" t="s">
        <v>101</v>
      </c>
      <c r="K61" s="167">
        <v>5</v>
      </c>
      <c r="L61" s="163" t="s">
        <v>25</v>
      </c>
      <c r="M61" s="30" t="s">
        <v>26</v>
      </c>
      <c r="N61" s="30" t="s">
        <v>27</v>
      </c>
      <c r="O61" s="22" t="s">
        <v>28</v>
      </c>
      <c r="P61" s="169" t="s">
        <v>29</v>
      </c>
    </row>
    <row r="62" spans="1:17" s="23" customFormat="1" ht="12.75" customHeight="1">
      <c r="A62" s="169">
        <v>2</v>
      </c>
      <c r="B62" s="154" t="s">
        <v>214</v>
      </c>
      <c r="C62" s="163" t="s">
        <v>215</v>
      </c>
      <c r="D62" s="163" t="s">
        <v>216</v>
      </c>
      <c r="E62" s="162" t="s">
        <v>217</v>
      </c>
      <c r="F62" s="164">
        <f>G62/10.764</f>
        <v>8705.6856187290978</v>
      </c>
      <c r="G62" s="164">
        <v>93708</v>
      </c>
      <c r="H62" s="167" t="s">
        <v>219</v>
      </c>
      <c r="I62" s="170" t="s">
        <v>47</v>
      </c>
      <c r="J62" s="151" t="s">
        <v>101</v>
      </c>
      <c r="K62" s="167">
        <v>5</v>
      </c>
      <c r="L62" s="163" t="s">
        <v>25</v>
      </c>
      <c r="M62" s="30" t="s">
        <v>26</v>
      </c>
      <c r="N62" s="30" t="s">
        <v>27</v>
      </c>
      <c r="O62" s="22" t="s">
        <v>28</v>
      </c>
      <c r="P62" s="169" t="s">
        <v>29</v>
      </c>
    </row>
    <row r="63" spans="1:17" s="23" customFormat="1" ht="12.75" customHeight="1">
      <c r="A63" s="169">
        <v>3</v>
      </c>
      <c r="B63" s="154" t="s">
        <v>214</v>
      </c>
      <c r="C63" s="163" t="s">
        <v>215</v>
      </c>
      <c r="D63" s="163" t="s">
        <v>216</v>
      </c>
      <c r="E63" s="162" t="s">
        <v>217</v>
      </c>
      <c r="F63" s="164">
        <f>G63/10.764</f>
        <v>6281.4009661835753</v>
      </c>
      <c r="G63" s="164">
        <v>67613</v>
      </c>
      <c r="H63" s="167" t="s">
        <v>220</v>
      </c>
      <c r="I63" s="170" t="s">
        <v>70</v>
      </c>
      <c r="J63" s="151" t="s">
        <v>124</v>
      </c>
      <c r="K63" s="167">
        <v>5</v>
      </c>
      <c r="L63" s="163" t="s">
        <v>25</v>
      </c>
      <c r="M63" s="30" t="s">
        <v>26</v>
      </c>
      <c r="N63" s="30" t="s">
        <v>27</v>
      </c>
      <c r="O63" s="22" t="s">
        <v>28</v>
      </c>
      <c r="P63" s="169" t="s">
        <v>29</v>
      </c>
    </row>
    <row r="64" spans="1:17" s="23" customFormat="1" ht="12.75" customHeight="1">
      <c r="A64" s="169">
        <v>4</v>
      </c>
      <c r="B64" s="154" t="s">
        <v>214</v>
      </c>
      <c r="C64" s="163" t="s">
        <v>221</v>
      </c>
      <c r="D64" s="163" t="s">
        <v>216</v>
      </c>
      <c r="E64" s="162" t="s">
        <v>217</v>
      </c>
      <c r="F64" s="164">
        <f>G64/10.764</f>
        <v>8377.9264214046834</v>
      </c>
      <c r="G64" s="164">
        <v>90180</v>
      </c>
      <c r="H64" s="167" t="s">
        <v>31</v>
      </c>
      <c r="I64" s="170" t="s">
        <v>96</v>
      </c>
      <c r="J64" s="151" t="s">
        <v>39</v>
      </c>
      <c r="K64" s="167">
        <v>5</v>
      </c>
      <c r="L64" s="163" t="s">
        <v>25</v>
      </c>
      <c r="M64" s="30" t="s">
        <v>26</v>
      </c>
      <c r="N64" s="30" t="s">
        <v>77</v>
      </c>
      <c r="O64" s="22" t="s">
        <v>28</v>
      </c>
      <c r="P64" s="169" t="s">
        <v>29</v>
      </c>
    </row>
    <row r="65" spans="1:17" s="23" customFormat="1" ht="12.75" customHeight="1">
      <c r="A65" s="169">
        <v>5</v>
      </c>
      <c r="B65" s="154" t="s">
        <v>214</v>
      </c>
      <c r="C65" s="163" t="s">
        <v>222</v>
      </c>
      <c r="D65" s="163" t="s">
        <v>216</v>
      </c>
      <c r="E65" s="162" t="s">
        <v>223</v>
      </c>
      <c r="F65" s="164">
        <f>G65/10.764</f>
        <v>5779.9145299145302</v>
      </c>
      <c r="G65" s="164">
        <v>62215</v>
      </c>
      <c r="H65" s="167" t="s">
        <v>123</v>
      </c>
      <c r="I65" s="170" t="s">
        <v>70</v>
      </c>
      <c r="J65" s="151" t="s">
        <v>101</v>
      </c>
      <c r="K65" s="167">
        <v>3</v>
      </c>
      <c r="L65" s="163" t="s">
        <v>53</v>
      </c>
      <c r="M65" s="30" t="s">
        <v>26</v>
      </c>
      <c r="N65" s="30"/>
      <c r="O65" s="22" t="s">
        <v>28</v>
      </c>
      <c r="P65" s="169" t="s">
        <v>29</v>
      </c>
    </row>
    <row r="66" spans="1:17" s="26" customFormat="1" ht="12.75" customHeight="1">
      <c r="A66" s="222" t="s">
        <v>224</v>
      </c>
      <c r="B66" s="222"/>
      <c r="C66" s="222"/>
      <c r="D66" s="222"/>
      <c r="E66" s="222"/>
      <c r="F66" s="24">
        <f>SUM(F61:F65)</f>
        <v>43215.811965811969</v>
      </c>
      <c r="G66" s="223">
        <f>SUM(G61:G65)</f>
        <v>465175</v>
      </c>
      <c r="H66" s="223"/>
      <c r="I66" s="223"/>
      <c r="J66" s="223"/>
      <c r="K66" s="223"/>
      <c r="L66" s="223"/>
      <c r="M66" s="210"/>
      <c r="N66" s="210"/>
      <c r="O66" s="25"/>
      <c r="P66" s="210"/>
    </row>
    <row r="67" spans="1:17" s="32" customFormat="1" ht="19.5" customHeight="1">
      <c r="A67" s="16" t="s">
        <v>225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27"/>
      <c r="Q67" s="33"/>
    </row>
    <row r="68" spans="1:17" s="23" customFormat="1" ht="12.75" customHeight="1">
      <c r="A68" s="167"/>
      <c r="B68" s="171"/>
      <c r="C68" s="171"/>
      <c r="D68" s="165"/>
      <c r="E68" s="166"/>
      <c r="F68" s="166"/>
      <c r="G68" s="166"/>
      <c r="H68" s="167"/>
      <c r="I68" s="172"/>
      <c r="J68" s="167"/>
      <c r="K68" s="162"/>
      <c r="L68" s="168"/>
      <c r="M68" s="168"/>
      <c r="N68" s="173"/>
      <c r="O68" s="173"/>
      <c r="P68" s="34"/>
    </row>
    <row r="69" spans="1:17" s="26" customFormat="1" ht="12.75" customHeight="1">
      <c r="A69" s="222" t="s">
        <v>226</v>
      </c>
      <c r="B69" s="222"/>
      <c r="C69" s="222"/>
      <c r="D69" s="222"/>
      <c r="E69" s="222"/>
      <c r="F69" s="24">
        <f>SUM(F68:F68)</f>
        <v>0</v>
      </c>
      <c r="G69" s="223">
        <f>SUM(G68:G68)</f>
        <v>0</v>
      </c>
      <c r="H69" s="223"/>
      <c r="I69" s="223"/>
      <c r="J69" s="223"/>
      <c r="K69" s="223"/>
      <c r="L69" s="223"/>
      <c r="M69" s="210"/>
      <c r="N69" s="210"/>
      <c r="O69" s="25"/>
      <c r="P69" s="210"/>
    </row>
    <row r="70" spans="1:17" s="32" customFormat="1" ht="19.5" customHeight="1">
      <c r="A70" s="16" t="s">
        <v>227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27"/>
      <c r="Q70" s="33"/>
    </row>
    <row r="71" spans="1:17" s="26" customFormat="1" ht="12.75" customHeight="1">
      <c r="A71" s="169">
        <v>1</v>
      </c>
      <c r="B71" s="154" t="s">
        <v>228</v>
      </c>
      <c r="C71" s="154" t="s">
        <v>229</v>
      </c>
      <c r="D71" s="155" t="s">
        <v>230</v>
      </c>
      <c r="E71" s="156" t="s">
        <v>86</v>
      </c>
      <c r="F71" s="156">
        <f t="shared" ref="F71:F87" si="1">G71/10.764</f>
        <v>7312.5232255667042</v>
      </c>
      <c r="G71" s="166">
        <v>78712</v>
      </c>
      <c r="H71" s="167" t="s">
        <v>231</v>
      </c>
      <c r="I71" s="170" t="s">
        <v>76</v>
      </c>
      <c r="J71" s="169" t="s">
        <v>101</v>
      </c>
      <c r="K71" s="169">
        <v>5</v>
      </c>
      <c r="L71" s="174" t="s">
        <v>25</v>
      </c>
      <c r="M71" s="35" t="s">
        <v>26</v>
      </c>
      <c r="N71" s="35" t="s">
        <v>77</v>
      </c>
      <c r="O71" s="36" t="s">
        <v>28</v>
      </c>
      <c r="P71" s="169" t="s">
        <v>29</v>
      </c>
    </row>
    <row r="72" spans="1:17" s="26" customFormat="1" ht="12.75" customHeight="1">
      <c r="A72" s="169">
        <v>2</v>
      </c>
      <c r="B72" s="154" t="s">
        <v>228</v>
      </c>
      <c r="C72" s="154" t="s">
        <v>232</v>
      </c>
      <c r="D72" s="155" t="s">
        <v>230</v>
      </c>
      <c r="E72" s="156" t="s">
        <v>86</v>
      </c>
      <c r="F72" s="156">
        <f t="shared" si="1"/>
        <v>5088.1642512077296</v>
      </c>
      <c r="G72" s="166">
        <v>54769</v>
      </c>
      <c r="H72" s="167" t="s">
        <v>233</v>
      </c>
      <c r="I72" s="170" t="s">
        <v>70</v>
      </c>
      <c r="J72" s="169" t="s">
        <v>101</v>
      </c>
      <c r="K72" s="169">
        <v>10</v>
      </c>
      <c r="L72" s="174" t="s">
        <v>25</v>
      </c>
      <c r="M72" s="35" t="s">
        <v>26</v>
      </c>
      <c r="N72" s="35" t="s">
        <v>27</v>
      </c>
      <c r="O72" s="36" t="s">
        <v>28</v>
      </c>
      <c r="P72" s="169" t="s">
        <v>29</v>
      </c>
    </row>
    <row r="73" spans="1:17" s="26" customFormat="1" ht="12.75" customHeight="1">
      <c r="A73" s="169">
        <v>3</v>
      </c>
      <c r="B73" s="154" t="s">
        <v>228</v>
      </c>
      <c r="C73" s="154" t="s">
        <v>234</v>
      </c>
      <c r="D73" s="155" t="s">
        <v>230</v>
      </c>
      <c r="E73" s="156" t="s">
        <v>86</v>
      </c>
      <c r="F73" s="156">
        <f t="shared" si="1"/>
        <v>2679.2084726867338</v>
      </c>
      <c r="G73" s="166">
        <v>28839</v>
      </c>
      <c r="H73" s="167" t="s">
        <v>235</v>
      </c>
      <c r="I73" s="170" t="s">
        <v>82</v>
      </c>
      <c r="J73" s="169" t="s">
        <v>39</v>
      </c>
      <c r="K73" s="169">
        <v>2</v>
      </c>
      <c r="L73" s="174" t="s">
        <v>53</v>
      </c>
      <c r="M73" s="35" t="s">
        <v>54</v>
      </c>
      <c r="N73" s="35" t="s">
        <v>102</v>
      </c>
      <c r="O73" s="36" t="s">
        <v>134</v>
      </c>
      <c r="P73" s="169" t="s">
        <v>29</v>
      </c>
    </row>
    <row r="74" spans="1:17" s="26" customFormat="1" ht="12.75" customHeight="1">
      <c r="A74" s="169">
        <v>4</v>
      </c>
      <c r="B74" s="154" t="s">
        <v>228</v>
      </c>
      <c r="C74" s="154" t="s">
        <v>236</v>
      </c>
      <c r="D74" s="155" t="s">
        <v>237</v>
      </c>
      <c r="E74" s="156" t="s">
        <v>109</v>
      </c>
      <c r="F74" s="156">
        <f t="shared" si="1"/>
        <v>14812.894834633966</v>
      </c>
      <c r="G74" s="166">
        <v>159446</v>
      </c>
      <c r="H74" s="167" t="s">
        <v>31</v>
      </c>
      <c r="I74" s="170" t="s">
        <v>76</v>
      </c>
      <c r="J74" s="169" t="s">
        <v>101</v>
      </c>
      <c r="K74" s="169">
        <v>15</v>
      </c>
      <c r="L74" s="174" t="s">
        <v>25</v>
      </c>
      <c r="M74" s="35" t="s">
        <v>54</v>
      </c>
      <c r="N74" s="35" t="s">
        <v>27</v>
      </c>
      <c r="O74" s="36" t="s">
        <v>28</v>
      </c>
      <c r="P74" s="169" t="s">
        <v>29</v>
      </c>
    </row>
    <row r="75" spans="1:17" s="26" customFormat="1" ht="12.75" customHeight="1">
      <c r="A75" s="169">
        <v>5</v>
      </c>
      <c r="B75" s="154" t="s">
        <v>228</v>
      </c>
      <c r="C75" s="154" t="s">
        <v>236</v>
      </c>
      <c r="D75" s="155" t="s">
        <v>237</v>
      </c>
      <c r="E75" s="156" t="s">
        <v>109</v>
      </c>
      <c r="F75" s="156">
        <f t="shared" si="1"/>
        <v>11496.934225195095</v>
      </c>
      <c r="G75" s="166">
        <v>123753</v>
      </c>
      <c r="H75" s="167" t="s">
        <v>238</v>
      </c>
      <c r="I75" s="170" t="s">
        <v>76</v>
      </c>
      <c r="J75" s="169" t="s">
        <v>101</v>
      </c>
      <c r="K75" s="169">
        <v>15</v>
      </c>
      <c r="L75" s="174" t="s">
        <v>25</v>
      </c>
      <c r="M75" s="35" t="s">
        <v>54</v>
      </c>
      <c r="N75" s="35" t="s">
        <v>27</v>
      </c>
      <c r="O75" s="36" t="s">
        <v>28</v>
      </c>
      <c r="P75" s="169" t="s">
        <v>29</v>
      </c>
    </row>
    <row r="76" spans="1:17" s="26" customFormat="1" ht="12.75" customHeight="1">
      <c r="A76" s="169">
        <v>6</v>
      </c>
      <c r="B76" s="154" t="s">
        <v>228</v>
      </c>
      <c r="C76" s="154" t="s">
        <v>239</v>
      </c>
      <c r="D76" s="155" t="s">
        <v>237</v>
      </c>
      <c r="E76" s="156" t="s">
        <v>109</v>
      </c>
      <c r="F76" s="156">
        <f t="shared" si="1"/>
        <v>12917.224080267559</v>
      </c>
      <c r="G76" s="166">
        <v>139041</v>
      </c>
      <c r="H76" s="167" t="s">
        <v>31</v>
      </c>
      <c r="I76" s="170" t="s">
        <v>47</v>
      </c>
      <c r="J76" s="169" t="s">
        <v>48</v>
      </c>
      <c r="K76" s="169">
        <v>10</v>
      </c>
      <c r="L76" s="174" t="s">
        <v>53</v>
      </c>
      <c r="M76" s="35" t="s">
        <v>26</v>
      </c>
      <c r="N76" s="35" t="s">
        <v>240</v>
      </c>
      <c r="O76" s="36" t="s">
        <v>28</v>
      </c>
      <c r="P76" s="169" t="s">
        <v>29</v>
      </c>
    </row>
    <row r="77" spans="1:17" s="26" customFormat="1" ht="12.75" customHeight="1">
      <c r="A77" s="169">
        <v>7</v>
      </c>
      <c r="B77" s="154" t="s">
        <v>228</v>
      </c>
      <c r="C77" s="154" t="s">
        <v>241</v>
      </c>
      <c r="D77" s="155" t="s">
        <v>242</v>
      </c>
      <c r="E77" s="156" t="s">
        <v>109</v>
      </c>
      <c r="F77" s="156">
        <f t="shared" si="1"/>
        <v>11371.23745819398</v>
      </c>
      <c r="G77" s="166">
        <v>122400</v>
      </c>
      <c r="H77" s="167" t="s">
        <v>31</v>
      </c>
      <c r="I77" s="170" t="s">
        <v>82</v>
      </c>
      <c r="J77" s="169" t="s">
        <v>39</v>
      </c>
      <c r="K77" s="169">
        <v>13</v>
      </c>
      <c r="L77" s="174" t="s">
        <v>25</v>
      </c>
      <c r="M77" s="35" t="s">
        <v>26</v>
      </c>
      <c r="N77" s="35" t="s">
        <v>102</v>
      </c>
      <c r="O77" s="36" t="s">
        <v>134</v>
      </c>
      <c r="P77" s="169" t="s">
        <v>29</v>
      </c>
    </row>
    <row r="78" spans="1:17" s="26" customFormat="1" ht="12.75" customHeight="1">
      <c r="A78" s="169">
        <v>8</v>
      </c>
      <c r="B78" s="154" t="s">
        <v>228</v>
      </c>
      <c r="C78" s="154" t="s">
        <v>243</v>
      </c>
      <c r="D78" s="155" t="s">
        <v>242</v>
      </c>
      <c r="E78" s="156" t="s">
        <v>109</v>
      </c>
      <c r="F78" s="156">
        <f t="shared" si="1"/>
        <v>11426.978818283167</v>
      </c>
      <c r="G78" s="166">
        <v>123000</v>
      </c>
      <c r="H78" s="167" t="s">
        <v>31</v>
      </c>
      <c r="I78" s="170" t="s">
        <v>32</v>
      </c>
      <c r="J78" s="169" t="s">
        <v>39</v>
      </c>
      <c r="K78" s="169">
        <v>13</v>
      </c>
      <c r="L78" s="174"/>
      <c r="M78" s="35" t="s">
        <v>54</v>
      </c>
      <c r="N78" s="35" t="s">
        <v>102</v>
      </c>
      <c r="O78" s="36" t="s">
        <v>134</v>
      </c>
      <c r="P78" s="169" t="s">
        <v>29</v>
      </c>
    </row>
    <row r="79" spans="1:17" s="26" customFormat="1" ht="12.75" customHeight="1">
      <c r="A79" s="169">
        <v>9</v>
      </c>
      <c r="B79" s="154" t="s">
        <v>228</v>
      </c>
      <c r="C79" s="154" t="s">
        <v>244</v>
      </c>
      <c r="D79" s="155" t="s">
        <v>245</v>
      </c>
      <c r="E79" s="156" t="s">
        <v>246</v>
      </c>
      <c r="F79" s="156">
        <f t="shared" si="1"/>
        <v>10824.043106651803</v>
      </c>
      <c r="G79" s="166">
        <v>116510</v>
      </c>
      <c r="H79" s="167" t="s">
        <v>247</v>
      </c>
      <c r="I79" s="170" t="s">
        <v>93</v>
      </c>
      <c r="J79" s="169" t="s">
        <v>189</v>
      </c>
      <c r="K79" s="169">
        <v>5</v>
      </c>
      <c r="L79" s="174" t="s">
        <v>53</v>
      </c>
      <c r="M79" s="35" t="s">
        <v>26</v>
      </c>
      <c r="N79" s="35" t="s">
        <v>102</v>
      </c>
      <c r="O79" s="36" t="s">
        <v>28</v>
      </c>
      <c r="P79" s="169" t="s">
        <v>42</v>
      </c>
    </row>
    <row r="80" spans="1:17" s="26" customFormat="1" ht="12.75" customHeight="1">
      <c r="A80" s="169">
        <v>10</v>
      </c>
      <c r="B80" s="154" t="s">
        <v>228</v>
      </c>
      <c r="C80" s="154" t="s">
        <v>248</v>
      </c>
      <c r="D80" s="155" t="s">
        <v>245</v>
      </c>
      <c r="E80" s="156" t="s">
        <v>246</v>
      </c>
      <c r="F80" s="156">
        <f t="shared" si="1"/>
        <v>10824.043106651803</v>
      </c>
      <c r="G80" s="166">
        <v>116510</v>
      </c>
      <c r="H80" s="167" t="s">
        <v>249</v>
      </c>
      <c r="I80" s="170" t="s">
        <v>70</v>
      </c>
      <c r="J80" s="169" t="s">
        <v>101</v>
      </c>
      <c r="K80" s="169">
        <v>10</v>
      </c>
      <c r="L80" s="174" t="s">
        <v>25</v>
      </c>
      <c r="M80" s="35" t="s">
        <v>54</v>
      </c>
      <c r="N80" s="35" t="s">
        <v>49</v>
      </c>
      <c r="O80" s="36" t="s">
        <v>28</v>
      </c>
      <c r="P80" s="169" t="s">
        <v>29</v>
      </c>
    </row>
    <row r="81" spans="1:16" s="26" customFormat="1" ht="12.75" customHeight="1">
      <c r="A81" s="169">
        <v>11</v>
      </c>
      <c r="B81" s="154" t="s">
        <v>228</v>
      </c>
      <c r="C81" s="154" t="s">
        <v>248</v>
      </c>
      <c r="D81" s="155" t="s">
        <v>245</v>
      </c>
      <c r="E81" s="156" t="s">
        <v>246</v>
      </c>
      <c r="F81" s="156">
        <f t="shared" si="1"/>
        <v>18904.775176514308</v>
      </c>
      <c r="G81" s="166">
        <v>203491</v>
      </c>
      <c r="H81" s="167" t="s">
        <v>31</v>
      </c>
      <c r="I81" s="170" t="s">
        <v>70</v>
      </c>
      <c r="J81" s="169" t="s">
        <v>101</v>
      </c>
      <c r="K81" s="169">
        <v>10</v>
      </c>
      <c r="L81" s="174" t="s">
        <v>25</v>
      </c>
      <c r="M81" s="35" t="s">
        <v>54</v>
      </c>
      <c r="N81" s="35" t="s">
        <v>49</v>
      </c>
      <c r="O81" s="36" t="s">
        <v>28</v>
      </c>
      <c r="P81" s="169" t="s">
        <v>29</v>
      </c>
    </row>
    <row r="82" spans="1:16" s="26" customFormat="1" ht="12.75" customHeight="1">
      <c r="A82" s="169">
        <v>12</v>
      </c>
      <c r="B82" s="154" t="s">
        <v>228</v>
      </c>
      <c r="C82" s="194" t="s">
        <v>34</v>
      </c>
      <c r="D82" s="155" t="s">
        <v>250</v>
      </c>
      <c r="E82" s="156" t="s">
        <v>251</v>
      </c>
      <c r="F82" s="156">
        <f t="shared" si="1"/>
        <v>2000.0000000000002</v>
      </c>
      <c r="G82" s="166">
        <v>21528</v>
      </c>
      <c r="H82" s="167" t="s">
        <v>252</v>
      </c>
      <c r="I82" s="170" t="s">
        <v>76</v>
      </c>
      <c r="J82" s="169" t="s">
        <v>39</v>
      </c>
      <c r="K82" s="169" t="s">
        <v>41</v>
      </c>
      <c r="L82" s="174" t="s">
        <v>41</v>
      </c>
      <c r="M82" s="35" t="s">
        <v>54</v>
      </c>
      <c r="N82" s="35" t="s">
        <v>41</v>
      </c>
      <c r="O82" s="36" t="s">
        <v>41</v>
      </c>
      <c r="P82" s="169" t="s">
        <v>42</v>
      </c>
    </row>
    <row r="83" spans="1:16" s="26" customFormat="1" ht="12.75" customHeight="1">
      <c r="A83" s="169">
        <v>13</v>
      </c>
      <c r="B83" s="154" t="s">
        <v>228</v>
      </c>
      <c r="C83" s="154" t="s">
        <v>253</v>
      </c>
      <c r="D83" s="155" t="s">
        <v>254</v>
      </c>
      <c r="E83" s="156" t="s">
        <v>255</v>
      </c>
      <c r="F83" s="156">
        <f t="shared" si="1"/>
        <v>4784.5596432552957</v>
      </c>
      <c r="G83" s="166">
        <v>51501</v>
      </c>
      <c r="H83" s="167" t="s">
        <v>256</v>
      </c>
      <c r="I83" s="170" t="s">
        <v>82</v>
      </c>
      <c r="J83" s="169" t="s">
        <v>101</v>
      </c>
      <c r="K83" s="169">
        <v>7</v>
      </c>
      <c r="L83" s="174" t="s">
        <v>25</v>
      </c>
      <c r="M83" s="35" t="s">
        <v>26</v>
      </c>
      <c r="N83" s="35" t="s">
        <v>27</v>
      </c>
      <c r="O83" s="36" t="s">
        <v>28</v>
      </c>
      <c r="P83" s="169" t="s">
        <v>29</v>
      </c>
    </row>
    <row r="84" spans="1:16" s="26" customFormat="1" ht="12.75" customHeight="1">
      <c r="A84" s="169">
        <v>14</v>
      </c>
      <c r="B84" s="154" t="s">
        <v>228</v>
      </c>
      <c r="C84" s="154" t="s">
        <v>257</v>
      </c>
      <c r="D84" s="155" t="s">
        <v>258</v>
      </c>
      <c r="E84" s="156" t="s">
        <v>163</v>
      </c>
      <c r="F84" s="156">
        <f t="shared" si="1"/>
        <v>13791.527313266444</v>
      </c>
      <c r="G84" s="166">
        <v>148452</v>
      </c>
      <c r="H84" s="167" t="s">
        <v>259</v>
      </c>
      <c r="I84" s="170" t="s">
        <v>23</v>
      </c>
      <c r="J84" s="169" t="s">
        <v>101</v>
      </c>
      <c r="K84" s="169">
        <v>10</v>
      </c>
      <c r="L84" s="174" t="s">
        <v>25</v>
      </c>
      <c r="M84" s="35" t="s">
        <v>26</v>
      </c>
      <c r="N84" s="35" t="s">
        <v>260</v>
      </c>
      <c r="O84" s="36" t="s">
        <v>28</v>
      </c>
      <c r="P84" s="169" t="s">
        <v>29</v>
      </c>
    </row>
    <row r="85" spans="1:16" s="26" customFormat="1" ht="12.75" customHeight="1">
      <c r="A85" s="169">
        <v>15</v>
      </c>
      <c r="B85" s="154" t="s">
        <v>228</v>
      </c>
      <c r="C85" s="154" t="s">
        <v>261</v>
      </c>
      <c r="D85" s="155" t="s">
        <v>262</v>
      </c>
      <c r="E85" s="156" t="s">
        <v>263</v>
      </c>
      <c r="F85" s="156">
        <f t="shared" si="1"/>
        <v>14336.863619472317</v>
      </c>
      <c r="G85" s="166">
        <v>154322</v>
      </c>
      <c r="H85" s="167" t="s">
        <v>31</v>
      </c>
      <c r="I85" s="170" t="s">
        <v>47</v>
      </c>
      <c r="J85" s="169" t="s">
        <v>101</v>
      </c>
      <c r="K85" s="169">
        <v>10</v>
      </c>
      <c r="L85" s="174" t="s">
        <v>53</v>
      </c>
      <c r="M85" s="35" t="s">
        <v>54</v>
      </c>
      <c r="N85" s="35" t="s">
        <v>27</v>
      </c>
      <c r="O85" s="36" t="s">
        <v>28</v>
      </c>
      <c r="P85" s="169" t="s">
        <v>29</v>
      </c>
    </row>
    <row r="86" spans="1:16" s="26" customFormat="1" ht="12.75" customHeight="1">
      <c r="A86" s="169">
        <v>16</v>
      </c>
      <c r="B86" s="154" t="s">
        <v>228</v>
      </c>
      <c r="C86" s="154" t="s">
        <v>264</v>
      </c>
      <c r="D86" s="155" t="s">
        <v>265</v>
      </c>
      <c r="E86" s="156" t="s">
        <v>183</v>
      </c>
      <c r="F86" s="156">
        <f t="shared" si="1"/>
        <v>15000.000000000002</v>
      </c>
      <c r="G86" s="166">
        <v>161460</v>
      </c>
      <c r="H86" s="167" t="s">
        <v>266</v>
      </c>
      <c r="I86" s="170" t="s">
        <v>47</v>
      </c>
      <c r="J86" s="169" t="s">
        <v>39</v>
      </c>
      <c r="K86" s="169">
        <v>7</v>
      </c>
      <c r="L86" s="174" t="s">
        <v>118</v>
      </c>
      <c r="M86" s="35" t="s">
        <v>26</v>
      </c>
      <c r="N86" s="35" t="s">
        <v>77</v>
      </c>
      <c r="O86" s="36" t="s">
        <v>28</v>
      </c>
      <c r="P86" s="169" t="s">
        <v>29</v>
      </c>
    </row>
    <row r="87" spans="1:16" s="26" customFormat="1" ht="12.75" customHeight="1">
      <c r="A87" s="169">
        <v>17</v>
      </c>
      <c r="B87" s="154" t="s">
        <v>228</v>
      </c>
      <c r="C87" s="154" t="s">
        <v>267</v>
      </c>
      <c r="D87" s="155" t="s">
        <v>265</v>
      </c>
      <c r="E87" s="156" t="s">
        <v>183</v>
      </c>
      <c r="F87" s="156">
        <f t="shared" si="1"/>
        <v>21638.51727982163</v>
      </c>
      <c r="G87" s="166">
        <v>232917</v>
      </c>
      <c r="H87" s="167" t="s">
        <v>211</v>
      </c>
      <c r="I87" s="170" t="s">
        <v>23</v>
      </c>
      <c r="J87" s="169" t="s">
        <v>268</v>
      </c>
      <c r="K87" s="169">
        <v>7</v>
      </c>
      <c r="L87" s="174" t="s">
        <v>53</v>
      </c>
      <c r="M87" s="35" t="s">
        <v>26</v>
      </c>
      <c r="N87" s="35" t="s">
        <v>102</v>
      </c>
      <c r="O87" s="36"/>
      <c r="P87" s="169" t="s">
        <v>29</v>
      </c>
    </row>
    <row r="88" spans="1:16" s="26" customFormat="1" ht="12.75">
      <c r="A88" s="222" t="s">
        <v>269</v>
      </c>
      <c r="B88" s="222"/>
      <c r="C88" s="222"/>
      <c r="D88" s="222"/>
      <c r="E88" s="222"/>
      <c r="F88" s="24">
        <f>SUM(F71:F87)</f>
        <v>189209.49461166852</v>
      </c>
      <c r="G88" s="223">
        <f>SUM(G71:G87)</f>
        <v>2036651</v>
      </c>
      <c r="H88" s="223"/>
      <c r="I88" s="223"/>
      <c r="J88" s="223"/>
      <c r="K88" s="223"/>
      <c r="L88" s="223"/>
      <c r="M88" s="210"/>
      <c r="N88" s="210"/>
      <c r="O88" s="25"/>
      <c r="P88" s="210"/>
    </row>
    <row r="89" spans="1:16" s="29" customFormat="1" ht="20.25">
      <c r="A89" s="16" t="s">
        <v>270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27"/>
    </row>
    <row r="90" spans="1:16" s="37" customFormat="1" ht="13.5" customHeight="1">
      <c r="A90" s="167">
        <v>1</v>
      </c>
      <c r="B90" s="165" t="s">
        <v>271</v>
      </c>
      <c r="C90" s="165" t="s">
        <v>272</v>
      </c>
      <c r="D90" s="165" t="s">
        <v>273</v>
      </c>
      <c r="E90" s="167" t="s">
        <v>274</v>
      </c>
      <c r="F90" s="166">
        <f t="shared" ref="F90:F105" si="2">G90/10.764</f>
        <v>13334.912671869195</v>
      </c>
      <c r="G90" s="166">
        <v>143537</v>
      </c>
      <c r="H90" s="167" t="s">
        <v>275</v>
      </c>
      <c r="I90" s="150" t="s">
        <v>38</v>
      </c>
      <c r="J90" s="167" t="s">
        <v>52</v>
      </c>
      <c r="K90" s="167">
        <v>10</v>
      </c>
      <c r="L90" s="165" t="s">
        <v>25</v>
      </c>
      <c r="M90" s="45" t="s">
        <v>26</v>
      </c>
      <c r="N90" s="45" t="s">
        <v>27</v>
      </c>
      <c r="O90" s="46" t="s">
        <v>28</v>
      </c>
      <c r="P90" s="150" t="s">
        <v>42</v>
      </c>
    </row>
    <row r="91" spans="1:16" s="37" customFormat="1" ht="13.5" customHeight="1">
      <c r="A91" s="167">
        <v>2</v>
      </c>
      <c r="B91" s="165" t="s">
        <v>271</v>
      </c>
      <c r="C91" s="165" t="s">
        <v>276</v>
      </c>
      <c r="D91" s="165" t="s">
        <v>277</v>
      </c>
      <c r="E91" s="167" t="s">
        <v>278</v>
      </c>
      <c r="F91" s="166">
        <f t="shared" si="2"/>
        <v>11299.888517279822</v>
      </c>
      <c r="G91" s="166">
        <v>121632</v>
      </c>
      <c r="H91" s="167" t="s">
        <v>279</v>
      </c>
      <c r="I91" s="150" t="s">
        <v>82</v>
      </c>
      <c r="J91" s="167" t="s">
        <v>24</v>
      </c>
      <c r="K91" s="167">
        <v>5</v>
      </c>
      <c r="L91" s="165" t="s">
        <v>118</v>
      </c>
      <c r="M91" s="45" t="s">
        <v>26</v>
      </c>
      <c r="N91" s="45" t="s">
        <v>77</v>
      </c>
      <c r="O91" s="46" t="s">
        <v>28</v>
      </c>
      <c r="P91" s="150" t="s">
        <v>29</v>
      </c>
    </row>
    <row r="92" spans="1:16" s="37" customFormat="1" ht="13.5" customHeight="1">
      <c r="A92" s="167">
        <v>3</v>
      </c>
      <c r="B92" s="165" t="s">
        <v>271</v>
      </c>
      <c r="C92" s="165" t="s">
        <v>280</v>
      </c>
      <c r="D92" s="165" t="s">
        <v>277</v>
      </c>
      <c r="E92" s="167" t="s">
        <v>281</v>
      </c>
      <c r="F92" s="166">
        <f t="shared" si="2"/>
        <v>5388.3314752879969</v>
      </c>
      <c r="G92" s="166">
        <v>58000</v>
      </c>
      <c r="H92" s="167" t="s">
        <v>282</v>
      </c>
      <c r="I92" s="150" t="s">
        <v>160</v>
      </c>
      <c r="J92" s="167" t="s">
        <v>157</v>
      </c>
      <c r="K92" s="167">
        <v>5</v>
      </c>
      <c r="L92" s="165" t="s">
        <v>283</v>
      </c>
      <c r="M92" s="45" t="s">
        <v>26</v>
      </c>
      <c r="N92" s="45" t="s">
        <v>77</v>
      </c>
      <c r="O92" s="46" t="s">
        <v>28</v>
      </c>
      <c r="P92" s="150" t="s">
        <v>29</v>
      </c>
    </row>
    <row r="93" spans="1:16" s="37" customFormat="1" ht="13.5" customHeight="1">
      <c r="A93" s="167">
        <v>4</v>
      </c>
      <c r="B93" s="165" t="s">
        <v>271</v>
      </c>
      <c r="C93" s="165" t="s">
        <v>284</v>
      </c>
      <c r="D93" s="165" t="s">
        <v>277</v>
      </c>
      <c r="E93" s="167" t="s">
        <v>285</v>
      </c>
      <c r="F93" s="166">
        <f t="shared" si="2"/>
        <v>4949.9256781865479</v>
      </c>
      <c r="G93" s="166">
        <v>53281</v>
      </c>
      <c r="H93" s="167" t="s">
        <v>286</v>
      </c>
      <c r="I93" s="150" t="s">
        <v>70</v>
      </c>
      <c r="J93" s="167" t="s">
        <v>171</v>
      </c>
      <c r="K93" s="167">
        <v>5</v>
      </c>
      <c r="L93" s="165" t="s">
        <v>25</v>
      </c>
      <c r="M93" s="45" t="s">
        <v>26</v>
      </c>
      <c r="N93" s="45" t="s">
        <v>27</v>
      </c>
      <c r="O93" s="46" t="s">
        <v>28</v>
      </c>
      <c r="P93" s="150" t="s">
        <v>29</v>
      </c>
    </row>
    <row r="94" spans="1:16" s="37" customFormat="1" ht="13.5" customHeight="1">
      <c r="A94" s="167">
        <v>5</v>
      </c>
      <c r="B94" s="165" t="s">
        <v>271</v>
      </c>
      <c r="C94" s="165" t="s">
        <v>287</v>
      </c>
      <c r="D94" s="165" t="s">
        <v>288</v>
      </c>
      <c r="E94" s="167" t="s">
        <v>109</v>
      </c>
      <c r="F94" s="166">
        <f t="shared" si="2"/>
        <v>6967.6700111482724</v>
      </c>
      <c r="G94" s="166">
        <v>75000</v>
      </c>
      <c r="H94" s="167" t="s">
        <v>31</v>
      </c>
      <c r="I94" s="150" t="s">
        <v>38</v>
      </c>
      <c r="J94" s="167" t="s">
        <v>52</v>
      </c>
      <c r="K94" s="167">
        <v>15</v>
      </c>
      <c r="L94" s="165" t="s">
        <v>25</v>
      </c>
      <c r="M94" s="45" t="s">
        <v>54</v>
      </c>
      <c r="N94" s="45" t="s">
        <v>27</v>
      </c>
      <c r="O94" s="46" t="s">
        <v>28</v>
      </c>
      <c r="P94" s="150" t="s">
        <v>29</v>
      </c>
    </row>
    <row r="95" spans="1:16" s="37" customFormat="1" ht="13.5" customHeight="1">
      <c r="A95" s="167">
        <v>6</v>
      </c>
      <c r="B95" s="165" t="s">
        <v>271</v>
      </c>
      <c r="C95" s="165" t="s">
        <v>289</v>
      </c>
      <c r="D95" s="165" t="s">
        <v>288</v>
      </c>
      <c r="E95" s="167" t="s">
        <v>109</v>
      </c>
      <c r="F95" s="166">
        <f t="shared" si="2"/>
        <v>12753.623188405798</v>
      </c>
      <c r="G95" s="166">
        <v>137280</v>
      </c>
      <c r="H95" s="167" t="s">
        <v>290</v>
      </c>
      <c r="I95" s="150" t="s">
        <v>47</v>
      </c>
      <c r="J95" s="167" t="s">
        <v>291</v>
      </c>
      <c r="K95" s="167">
        <v>10</v>
      </c>
      <c r="L95" s="165" t="s">
        <v>25</v>
      </c>
      <c r="M95" s="45" t="s">
        <v>26</v>
      </c>
      <c r="N95" s="45" t="s">
        <v>27</v>
      </c>
      <c r="O95" s="46" t="s">
        <v>28</v>
      </c>
      <c r="P95" s="150" t="s">
        <v>29</v>
      </c>
    </row>
    <row r="96" spans="1:16" s="37" customFormat="1" ht="13.5" customHeight="1">
      <c r="A96" s="167">
        <v>7</v>
      </c>
      <c r="B96" s="165" t="s">
        <v>271</v>
      </c>
      <c r="C96" s="165" t="s">
        <v>289</v>
      </c>
      <c r="D96" s="165" t="s">
        <v>288</v>
      </c>
      <c r="E96" s="167" t="s">
        <v>109</v>
      </c>
      <c r="F96" s="166">
        <f t="shared" si="2"/>
        <v>12753.623188405798</v>
      </c>
      <c r="G96" s="166">
        <v>137280</v>
      </c>
      <c r="H96" s="167" t="s">
        <v>292</v>
      </c>
      <c r="I96" s="150" t="s">
        <v>47</v>
      </c>
      <c r="J96" s="167" t="s">
        <v>291</v>
      </c>
      <c r="K96" s="167">
        <v>10</v>
      </c>
      <c r="L96" s="165" t="s">
        <v>25</v>
      </c>
      <c r="M96" s="45" t="s">
        <v>26</v>
      </c>
      <c r="N96" s="45" t="s">
        <v>27</v>
      </c>
      <c r="O96" s="46" t="s">
        <v>28</v>
      </c>
      <c r="P96" s="150" t="s">
        <v>29</v>
      </c>
    </row>
    <row r="97" spans="1:16" s="37" customFormat="1" ht="13.5" customHeight="1">
      <c r="A97" s="167">
        <v>8</v>
      </c>
      <c r="B97" s="165" t="s">
        <v>271</v>
      </c>
      <c r="C97" s="218" t="s">
        <v>34</v>
      </c>
      <c r="D97" s="165" t="s">
        <v>293</v>
      </c>
      <c r="E97" s="167" t="s">
        <v>128</v>
      </c>
      <c r="F97" s="166">
        <f t="shared" si="2"/>
        <v>7030.1932367149766</v>
      </c>
      <c r="G97" s="166">
        <v>75673</v>
      </c>
      <c r="H97" s="167" t="s">
        <v>294</v>
      </c>
      <c r="I97" s="150" t="s">
        <v>23</v>
      </c>
      <c r="J97" s="167" t="s">
        <v>39</v>
      </c>
      <c r="K97" s="167" t="s">
        <v>41</v>
      </c>
      <c r="L97" s="165" t="s">
        <v>41</v>
      </c>
      <c r="M97" s="45" t="s">
        <v>41</v>
      </c>
      <c r="N97" s="45" t="s">
        <v>41</v>
      </c>
      <c r="O97" s="46" t="s">
        <v>41</v>
      </c>
      <c r="P97" s="150" t="s">
        <v>42</v>
      </c>
    </row>
    <row r="98" spans="1:16" s="37" customFormat="1" ht="13.5" customHeight="1">
      <c r="A98" s="167">
        <v>9</v>
      </c>
      <c r="B98" s="165" t="s">
        <v>271</v>
      </c>
      <c r="C98" s="218" t="s">
        <v>34</v>
      </c>
      <c r="D98" s="165" t="s">
        <v>293</v>
      </c>
      <c r="E98" s="167" t="s">
        <v>128</v>
      </c>
      <c r="F98" s="166">
        <f t="shared" si="2"/>
        <v>5259.476031215162</v>
      </c>
      <c r="G98" s="166">
        <v>56613</v>
      </c>
      <c r="H98" s="167" t="s">
        <v>295</v>
      </c>
      <c r="I98" s="150" t="s">
        <v>23</v>
      </c>
      <c r="J98" s="167" t="s">
        <v>39</v>
      </c>
      <c r="K98" s="167" t="s">
        <v>41</v>
      </c>
      <c r="L98" s="165" t="s">
        <v>41</v>
      </c>
      <c r="M98" s="45" t="s">
        <v>41</v>
      </c>
      <c r="N98" s="45" t="s">
        <v>41</v>
      </c>
      <c r="O98" s="46" t="s">
        <v>41</v>
      </c>
      <c r="P98" s="150" t="s">
        <v>42</v>
      </c>
    </row>
    <row r="99" spans="1:16" s="37" customFormat="1" ht="13.5" customHeight="1">
      <c r="A99" s="167">
        <v>10</v>
      </c>
      <c r="B99" s="165" t="s">
        <v>271</v>
      </c>
      <c r="C99" s="218" t="s">
        <v>34</v>
      </c>
      <c r="D99" s="165" t="s">
        <v>293</v>
      </c>
      <c r="E99" s="167" t="s">
        <v>128</v>
      </c>
      <c r="F99" s="166">
        <f t="shared" si="2"/>
        <v>4877.9264214046825</v>
      </c>
      <c r="G99" s="166">
        <v>52506</v>
      </c>
      <c r="H99" s="167" t="s">
        <v>296</v>
      </c>
      <c r="I99" s="150" t="s">
        <v>23</v>
      </c>
      <c r="J99" s="167" t="s">
        <v>39</v>
      </c>
      <c r="K99" s="167" t="s">
        <v>41</v>
      </c>
      <c r="L99" s="165" t="s">
        <v>41</v>
      </c>
      <c r="M99" s="45" t="s">
        <v>41</v>
      </c>
      <c r="N99" s="45" t="s">
        <v>41</v>
      </c>
      <c r="O99" s="46" t="s">
        <v>41</v>
      </c>
      <c r="P99" s="150" t="s">
        <v>42</v>
      </c>
    </row>
    <row r="100" spans="1:16" s="37" customFormat="1" ht="13.5" customHeight="1">
      <c r="A100" s="167">
        <v>11</v>
      </c>
      <c r="B100" s="165" t="s">
        <v>271</v>
      </c>
      <c r="C100" s="165" t="s">
        <v>297</v>
      </c>
      <c r="D100" s="165" t="s">
        <v>298</v>
      </c>
      <c r="E100" s="167" t="s">
        <v>299</v>
      </c>
      <c r="F100" s="166">
        <f t="shared" si="2"/>
        <v>10264.957264957266</v>
      </c>
      <c r="G100" s="166">
        <v>110492</v>
      </c>
      <c r="H100" s="167" t="s">
        <v>31</v>
      </c>
      <c r="I100" s="150" t="s">
        <v>93</v>
      </c>
      <c r="J100" s="167" t="s">
        <v>39</v>
      </c>
      <c r="K100" s="167">
        <v>7</v>
      </c>
      <c r="L100" s="165" t="s">
        <v>25</v>
      </c>
      <c r="M100" s="45" t="s">
        <v>54</v>
      </c>
      <c r="N100" s="45" t="s">
        <v>41</v>
      </c>
      <c r="O100" s="46" t="s">
        <v>28</v>
      </c>
      <c r="P100" s="150" t="s">
        <v>29</v>
      </c>
    </row>
    <row r="101" spans="1:16" s="37" customFormat="1" ht="13.5" customHeight="1">
      <c r="A101" s="167">
        <v>12</v>
      </c>
      <c r="B101" s="165" t="s">
        <v>271</v>
      </c>
      <c r="C101" s="165" t="s">
        <v>300</v>
      </c>
      <c r="D101" s="165" t="s">
        <v>301</v>
      </c>
      <c r="E101" s="167" t="s">
        <v>302</v>
      </c>
      <c r="F101" s="166">
        <f t="shared" si="2"/>
        <v>4828.966926793014</v>
      </c>
      <c r="G101" s="166">
        <v>51979</v>
      </c>
      <c r="H101" s="167" t="s">
        <v>303</v>
      </c>
      <c r="I101" s="150" t="s">
        <v>93</v>
      </c>
      <c r="J101" s="167" t="s">
        <v>101</v>
      </c>
      <c r="K101" s="167">
        <v>3</v>
      </c>
      <c r="L101" s="165" t="s">
        <v>53</v>
      </c>
      <c r="M101" s="45" t="s">
        <v>26</v>
      </c>
      <c r="N101" s="45" t="s">
        <v>102</v>
      </c>
      <c r="O101" s="46" t="s">
        <v>134</v>
      </c>
      <c r="P101" s="150" t="s">
        <v>42</v>
      </c>
    </row>
    <row r="102" spans="1:16" s="37" customFormat="1" ht="13.5" customHeight="1">
      <c r="A102" s="167">
        <v>13</v>
      </c>
      <c r="B102" s="165" t="s">
        <v>271</v>
      </c>
      <c r="C102" s="165" t="s">
        <v>304</v>
      </c>
      <c r="D102" s="165" t="s">
        <v>305</v>
      </c>
      <c r="E102" s="167" t="s">
        <v>306</v>
      </c>
      <c r="F102" s="166">
        <f t="shared" si="2"/>
        <v>6262.6347082868824</v>
      </c>
      <c r="G102" s="166">
        <v>67411</v>
      </c>
      <c r="H102" s="167" t="s">
        <v>307</v>
      </c>
      <c r="I102" s="150" t="s">
        <v>38</v>
      </c>
      <c r="J102" s="167" t="s">
        <v>33</v>
      </c>
      <c r="K102" s="167">
        <v>7</v>
      </c>
      <c r="L102" s="165" t="s">
        <v>25</v>
      </c>
      <c r="M102" s="45" t="s">
        <v>54</v>
      </c>
      <c r="N102" s="45" t="s">
        <v>27</v>
      </c>
      <c r="O102" s="46" t="s">
        <v>28</v>
      </c>
      <c r="P102" s="150" t="s">
        <v>29</v>
      </c>
    </row>
    <row r="103" spans="1:16" s="37" customFormat="1" ht="13.5" customHeight="1">
      <c r="A103" s="167">
        <v>14</v>
      </c>
      <c r="B103" s="165" t="s">
        <v>271</v>
      </c>
      <c r="C103" s="165" t="s">
        <v>261</v>
      </c>
      <c r="D103" s="165" t="s">
        <v>305</v>
      </c>
      <c r="E103" s="167" t="s">
        <v>306</v>
      </c>
      <c r="F103" s="166">
        <f t="shared" si="2"/>
        <v>8492.1962095875151</v>
      </c>
      <c r="G103" s="166">
        <v>91410</v>
      </c>
      <c r="H103" s="167" t="s">
        <v>307</v>
      </c>
      <c r="I103" s="150" t="s">
        <v>47</v>
      </c>
      <c r="J103" s="167" t="s">
        <v>101</v>
      </c>
      <c r="K103" s="167">
        <v>5</v>
      </c>
      <c r="L103" s="165" t="s">
        <v>53</v>
      </c>
      <c r="M103" s="45" t="s">
        <v>54</v>
      </c>
      <c r="N103" s="45" t="s">
        <v>27</v>
      </c>
      <c r="O103" s="46" t="s">
        <v>28</v>
      </c>
      <c r="P103" s="150" t="s">
        <v>29</v>
      </c>
    </row>
    <row r="104" spans="1:16" s="37" customFormat="1" ht="13.5" customHeight="1">
      <c r="A104" s="167">
        <v>15</v>
      </c>
      <c r="B104" s="165" t="s">
        <v>271</v>
      </c>
      <c r="C104" s="165" t="s">
        <v>308</v>
      </c>
      <c r="D104" s="165" t="s">
        <v>305</v>
      </c>
      <c r="E104" s="167" t="s">
        <v>306</v>
      </c>
      <c r="F104" s="166">
        <f t="shared" si="2"/>
        <v>4459.1230026012636</v>
      </c>
      <c r="G104" s="166">
        <v>47998</v>
      </c>
      <c r="H104" s="167" t="s">
        <v>307</v>
      </c>
      <c r="I104" s="150" t="s">
        <v>82</v>
      </c>
      <c r="J104" s="167" t="s">
        <v>309</v>
      </c>
      <c r="K104" s="167">
        <v>5</v>
      </c>
      <c r="L104" s="165" t="s">
        <v>53</v>
      </c>
      <c r="M104" s="45" t="s">
        <v>26</v>
      </c>
      <c r="N104" s="45" t="s">
        <v>102</v>
      </c>
      <c r="O104" s="46" t="s">
        <v>134</v>
      </c>
      <c r="P104" s="150" t="s">
        <v>29</v>
      </c>
    </row>
    <row r="105" spans="1:16" s="37" customFormat="1" ht="13.5" customHeight="1">
      <c r="A105" s="167">
        <v>16</v>
      </c>
      <c r="B105" s="165" t="s">
        <v>271</v>
      </c>
      <c r="C105" s="165" t="s">
        <v>310</v>
      </c>
      <c r="D105" s="165" t="s">
        <v>311</v>
      </c>
      <c r="E105" s="167" t="s">
        <v>183</v>
      </c>
      <c r="F105" s="166">
        <f t="shared" si="2"/>
        <v>9285.5815681902641</v>
      </c>
      <c r="G105" s="166">
        <v>99950</v>
      </c>
      <c r="H105" s="167" t="s">
        <v>31</v>
      </c>
      <c r="I105" s="150" t="s">
        <v>70</v>
      </c>
      <c r="J105" s="167" t="s">
        <v>24</v>
      </c>
      <c r="K105" s="167">
        <v>11</v>
      </c>
      <c r="L105" s="165" t="s">
        <v>25</v>
      </c>
      <c r="M105" s="45" t="s">
        <v>26</v>
      </c>
      <c r="N105" s="45" t="s">
        <v>27</v>
      </c>
      <c r="O105" s="46" t="s">
        <v>28</v>
      </c>
      <c r="P105" s="150" t="s">
        <v>29</v>
      </c>
    </row>
    <row r="106" spans="1:16" s="26" customFormat="1" ht="12.75">
      <c r="A106" s="222" t="s">
        <v>312</v>
      </c>
      <c r="B106" s="225"/>
      <c r="C106" s="225"/>
      <c r="D106" s="225"/>
      <c r="E106" s="225"/>
      <c r="F106" s="185">
        <f>SUM(F90:F105)</f>
        <v>128209.03010033446</v>
      </c>
      <c r="G106" s="223">
        <f>SUM(G90:G105)</f>
        <v>1380042</v>
      </c>
      <c r="H106" s="223"/>
      <c r="I106" s="223"/>
      <c r="J106" s="223"/>
      <c r="K106" s="223"/>
      <c r="L106" s="223"/>
      <c r="M106" s="223"/>
      <c r="N106" s="223"/>
      <c r="O106" s="223"/>
      <c r="P106" s="223"/>
    </row>
    <row r="107" spans="1:16" s="41" customFormat="1" ht="19.5">
      <c r="A107" s="16" t="s">
        <v>313</v>
      </c>
      <c r="B107" s="38"/>
      <c r="C107" s="38"/>
      <c r="D107" s="38"/>
      <c r="E107" s="38"/>
      <c r="F107" s="38"/>
      <c r="G107" s="39"/>
      <c r="H107" s="39"/>
      <c r="I107" s="39"/>
      <c r="J107" s="39"/>
      <c r="K107" s="39"/>
      <c r="L107" s="39"/>
      <c r="M107" s="39"/>
      <c r="N107" s="39"/>
      <c r="O107" s="39"/>
      <c r="P107" s="40"/>
    </row>
    <row r="108" spans="1:16" s="26" customFormat="1" ht="13.15">
      <c r="A108" s="167">
        <v>1</v>
      </c>
      <c r="B108" s="161" t="s">
        <v>314</v>
      </c>
      <c r="C108" s="168" t="s">
        <v>315</v>
      </c>
      <c r="D108" s="165" t="s">
        <v>316</v>
      </c>
      <c r="E108" s="167" t="s">
        <v>317</v>
      </c>
      <c r="F108" s="166">
        <f>G108/10.764</f>
        <v>9999.9070977331849</v>
      </c>
      <c r="G108" s="166">
        <v>107639</v>
      </c>
      <c r="H108" s="167" t="s">
        <v>318</v>
      </c>
      <c r="I108" s="150" t="s">
        <v>82</v>
      </c>
      <c r="J108" s="167" t="s">
        <v>101</v>
      </c>
      <c r="K108" s="167">
        <v>2</v>
      </c>
      <c r="L108" s="168" t="s">
        <v>53</v>
      </c>
      <c r="M108" s="168" t="s">
        <v>54</v>
      </c>
      <c r="N108" s="173" t="s">
        <v>114</v>
      </c>
      <c r="O108" s="173" t="s">
        <v>28</v>
      </c>
      <c r="P108" s="167" t="s">
        <v>29</v>
      </c>
    </row>
    <row r="109" spans="1:16" s="26" customFormat="1" ht="12.75">
      <c r="A109" s="222" t="s">
        <v>319</v>
      </c>
      <c r="B109" s="222"/>
      <c r="C109" s="222"/>
      <c r="D109" s="222"/>
      <c r="E109" s="222" t="s">
        <v>320</v>
      </c>
      <c r="F109" s="24">
        <f>SUM(F108:F108)</f>
        <v>9999.9070977331849</v>
      </c>
      <c r="G109" s="223">
        <f>SUM(G108:G108)</f>
        <v>107639</v>
      </c>
      <c r="H109" s="223"/>
      <c r="I109" s="223"/>
      <c r="J109" s="223"/>
      <c r="K109" s="223"/>
      <c r="L109" s="223"/>
      <c r="M109" s="210"/>
      <c r="N109" s="210"/>
      <c r="O109" s="210"/>
      <c r="P109" s="210"/>
    </row>
    <row r="110" spans="1:16" s="29" customFormat="1" ht="20.25">
      <c r="A110" s="16" t="s">
        <v>321</v>
      </c>
      <c r="B110" s="17"/>
      <c r="C110" s="17"/>
      <c r="D110" s="17"/>
      <c r="E110" s="44"/>
      <c r="F110" s="44"/>
      <c r="G110" s="17"/>
      <c r="H110" s="17"/>
      <c r="I110" s="17"/>
      <c r="J110" s="17"/>
      <c r="K110" s="17"/>
      <c r="L110" s="17"/>
      <c r="M110" s="17"/>
      <c r="N110" s="17"/>
      <c r="O110" s="17"/>
      <c r="P110" s="27"/>
    </row>
    <row r="111" spans="1:16" s="23" customFormat="1" ht="13.15">
      <c r="A111" s="167">
        <v>1</v>
      </c>
      <c r="B111" s="161" t="s">
        <v>322</v>
      </c>
      <c r="C111" s="191" t="s">
        <v>323</v>
      </c>
      <c r="D111" s="165" t="s">
        <v>324</v>
      </c>
      <c r="E111" s="167" t="s">
        <v>61</v>
      </c>
      <c r="F111" s="166">
        <f t="shared" ref="F111:F122" si="3">G111/10.764</f>
        <v>2304.4407283537721</v>
      </c>
      <c r="G111" s="166">
        <v>24805</v>
      </c>
      <c r="H111" s="167" t="s">
        <v>325</v>
      </c>
      <c r="I111" s="150" t="s">
        <v>76</v>
      </c>
      <c r="J111" s="167" t="s">
        <v>130</v>
      </c>
      <c r="K111" s="167">
        <v>10</v>
      </c>
      <c r="L111" s="165" t="s">
        <v>25</v>
      </c>
      <c r="M111" s="45" t="s">
        <v>26</v>
      </c>
      <c r="N111" s="45" t="s">
        <v>240</v>
      </c>
      <c r="O111" s="46" t="s">
        <v>28</v>
      </c>
      <c r="P111" s="150" t="s">
        <v>29</v>
      </c>
    </row>
    <row r="112" spans="1:16" s="23" customFormat="1" ht="13.15">
      <c r="A112" s="167">
        <v>2</v>
      </c>
      <c r="B112" s="161" t="s">
        <v>322</v>
      </c>
      <c r="C112" s="168" t="s">
        <v>326</v>
      </c>
      <c r="D112" s="165" t="s">
        <v>116</v>
      </c>
      <c r="E112" s="167" t="s">
        <v>86</v>
      </c>
      <c r="F112" s="166">
        <f>G112/10.764</f>
        <v>11846.989966555184</v>
      </c>
      <c r="G112" s="166">
        <v>127521</v>
      </c>
      <c r="H112" s="167" t="s">
        <v>327</v>
      </c>
      <c r="I112" s="150" t="s">
        <v>23</v>
      </c>
      <c r="J112" s="167" t="s">
        <v>101</v>
      </c>
      <c r="K112" s="167">
        <v>5</v>
      </c>
      <c r="L112" s="165" t="s">
        <v>25</v>
      </c>
      <c r="M112" s="45" t="s">
        <v>26</v>
      </c>
      <c r="N112" s="45" t="s">
        <v>77</v>
      </c>
      <c r="O112" s="46" t="s">
        <v>28</v>
      </c>
      <c r="P112" s="150" t="s">
        <v>29</v>
      </c>
    </row>
    <row r="113" spans="1:16" s="23" customFormat="1" ht="13.15">
      <c r="A113" s="167">
        <v>3</v>
      </c>
      <c r="B113" s="161" t="s">
        <v>322</v>
      </c>
      <c r="C113" s="168" t="s">
        <v>328</v>
      </c>
      <c r="D113" s="165" t="s">
        <v>329</v>
      </c>
      <c r="E113" s="167" t="s">
        <v>281</v>
      </c>
      <c r="F113" s="166">
        <f t="shared" si="3"/>
        <v>3195.8379784466742</v>
      </c>
      <c r="G113" s="166">
        <v>34400</v>
      </c>
      <c r="H113" s="167" t="s">
        <v>330</v>
      </c>
      <c r="I113" s="150" t="s">
        <v>93</v>
      </c>
      <c r="J113" s="167" t="s">
        <v>39</v>
      </c>
      <c r="K113" s="167">
        <v>1</v>
      </c>
      <c r="L113" s="165" t="s">
        <v>283</v>
      </c>
      <c r="M113" s="45" t="s">
        <v>54</v>
      </c>
      <c r="N113" s="45" t="s">
        <v>102</v>
      </c>
      <c r="O113" s="46" t="s">
        <v>28</v>
      </c>
      <c r="P113" s="150" t="s">
        <v>29</v>
      </c>
    </row>
    <row r="114" spans="1:16" s="23" customFormat="1" ht="13.15">
      <c r="A114" s="167">
        <v>4</v>
      </c>
      <c r="B114" s="161" t="s">
        <v>322</v>
      </c>
      <c r="C114" s="168" t="s">
        <v>222</v>
      </c>
      <c r="D114" s="165" t="s">
        <v>331</v>
      </c>
      <c r="E114" s="167" t="s">
        <v>223</v>
      </c>
      <c r="F114" s="166">
        <f t="shared" si="3"/>
        <v>6014.9572649572656</v>
      </c>
      <c r="G114" s="166">
        <v>64745</v>
      </c>
      <c r="H114" s="167" t="s">
        <v>332</v>
      </c>
      <c r="I114" s="150" t="s">
        <v>38</v>
      </c>
      <c r="J114" s="167" t="s">
        <v>171</v>
      </c>
      <c r="K114" s="167">
        <v>3</v>
      </c>
      <c r="L114" s="165" t="s">
        <v>53</v>
      </c>
      <c r="M114" s="45" t="s">
        <v>54</v>
      </c>
      <c r="N114" s="45" t="s">
        <v>27</v>
      </c>
      <c r="O114" s="46" t="s">
        <v>28</v>
      </c>
      <c r="P114" s="150" t="s">
        <v>29</v>
      </c>
    </row>
    <row r="115" spans="1:16" s="23" customFormat="1" ht="13.15">
      <c r="A115" s="167">
        <v>5</v>
      </c>
      <c r="B115" s="161" t="s">
        <v>322</v>
      </c>
      <c r="C115" s="191" t="s">
        <v>333</v>
      </c>
      <c r="D115" s="165" t="s">
        <v>334</v>
      </c>
      <c r="E115" s="167" t="s">
        <v>317</v>
      </c>
      <c r="F115" s="166">
        <f t="shared" si="3"/>
        <v>8799.8885172798218</v>
      </c>
      <c r="G115" s="166">
        <v>94722</v>
      </c>
      <c r="H115" s="167" t="s">
        <v>335</v>
      </c>
      <c r="I115" s="150" t="s">
        <v>82</v>
      </c>
      <c r="J115" s="207" t="s">
        <v>10</v>
      </c>
      <c r="K115" s="167">
        <v>7</v>
      </c>
      <c r="L115" s="165" t="s">
        <v>53</v>
      </c>
      <c r="M115" s="45" t="s">
        <v>26</v>
      </c>
      <c r="N115" s="45" t="s">
        <v>102</v>
      </c>
      <c r="O115" s="46" t="s">
        <v>28</v>
      </c>
      <c r="P115" s="150" t="s">
        <v>29</v>
      </c>
    </row>
    <row r="116" spans="1:16" s="23" customFormat="1" ht="13.15">
      <c r="A116" s="167">
        <v>6</v>
      </c>
      <c r="B116" s="161" t="s">
        <v>322</v>
      </c>
      <c r="C116" s="191" t="s">
        <v>336</v>
      </c>
      <c r="D116" s="165" t="s">
        <v>337</v>
      </c>
      <c r="E116" s="167" t="s">
        <v>163</v>
      </c>
      <c r="F116" s="166">
        <f t="shared" si="3"/>
        <v>12784.931252322558</v>
      </c>
      <c r="G116" s="166">
        <v>137617</v>
      </c>
      <c r="H116" s="167" t="s">
        <v>338</v>
      </c>
      <c r="I116" s="150" t="s">
        <v>76</v>
      </c>
      <c r="J116" s="167" t="s">
        <v>157</v>
      </c>
      <c r="K116" s="167">
        <v>3</v>
      </c>
      <c r="L116" s="165" t="s">
        <v>25</v>
      </c>
      <c r="M116" s="45" t="s">
        <v>26</v>
      </c>
      <c r="N116" s="45" t="s">
        <v>27</v>
      </c>
      <c r="O116" s="46" t="s">
        <v>28</v>
      </c>
      <c r="P116" s="150" t="s">
        <v>29</v>
      </c>
    </row>
    <row r="117" spans="1:16" s="23" customFormat="1" ht="13.15">
      <c r="A117" s="167">
        <v>7</v>
      </c>
      <c r="B117" s="161" t="s">
        <v>322</v>
      </c>
      <c r="C117" s="191" t="s">
        <v>339</v>
      </c>
      <c r="D117" s="165" t="s">
        <v>340</v>
      </c>
      <c r="E117" s="167" t="s">
        <v>163</v>
      </c>
      <c r="F117" s="166">
        <f t="shared" si="3"/>
        <v>12026.291341508733</v>
      </c>
      <c r="G117" s="166">
        <v>129451</v>
      </c>
      <c r="H117" s="167" t="s">
        <v>31</v>
      </c>
      <c r="I117" s="150" t="s">
        <v>32</v>
      </c>
      <c r="J117" s="167" t="s">
        <v>101</v>
      </c>
      <c r="K117" s="167">
        <v>10</v>
      </c>
      <c r="L117" s="165" t="s">
        <v>25</v>
      </c>
      <c r="M117" s="45" t="s">
        <v>26</v>
      </c>
      <c r="N117" s="45" t="s">
        <v>89</v>
      </c>
      <c r="O117" s="46" t="s">
        <v>28</v>
      </c>
      <c r="P117" s="150" t="s">
        <v>29</v>
      </c>
    </row>
    <row r="118" spans="1:16" s="23" customFormat="1" ht="13.15">
      <c r="A118" s="167">
        <v>8</v>
      </c>
      <c r="B118" s="161" t="s">
        <v>322</v>
      </c>
      <c r="C118" s="191" t="s">
        <v>341</v>
      </c>
      <c r="D118" s="165" t="s">
        <v>340</v>
      </c>
      <c r="E118" s="167" t="s">
        <v>163</v>
      </c>
      <c r="F118" s="166">
        <f t="shared" si="3"/>
        <v>24830.267558528431</v>
      </c>
      <c r="G118" s="166">
        <v>267273</v>
      </c>
      <c r="H118" s="167" t="s">
        <v>31</v>
      </c>
      <c r="I118" s="150" t="s">
        <v>32</v>
      </c>
      <c r="J118" s="167" t="s">
        <v>157</v>
      </c>
      <c r="K118" s="167">
        <v>7</v>
      </c>
      <c r="L118" s="165" t="s">
        <v>25</v>
      </c>
      <c r="M118" s="45" t="s">
        <v>26</v>
      </c>
      <c r="N118" s="45" t="s">
        <v>342</v>
      </c>
      <c r="O118" s="46" t="s">
        <v>28</v>
      </c>
      <c r="P118" s="150" t="s">
        <v>29</v>
      </c>
    </row>
    <row r="119" spans="1:16" s="23" customFormat="1" ht="13.15">
      <c r="A119" s="167">
        <v>9</v>
      </c>
      <c r="B119" s="161" t="s">
        <v>322</v>
      </c>
      <c r="C119" s="168" t="s">
        <v>343</v>
      </c>
      <c r="D119" s="165" t="s">
        <v>344</v>
      </c>
      <c r="E119" s="167" t="s">
        <v>183</v>
      </c>
      <c r="F119" s="166">
        <f t="shared" si="3"/>
        <v>16094.388703084356</v>
      </c>
      <c r="G119" s="166">
        <v>173240</v>
      </c>
      <c r="H119" s="167" t="s">
        <v>266</v>
      </c>
      <c r="I119" s="150" t="s">
        <v>38</v>
      </c>
      <c r="J119" s="167" t="s">
        <v>39</v>
      </c>
      <c r="K119" s="167">
        <v>7</v>
      </c>
      <c r="L119" s="165" t="s">
        <v>25</v>
      </c>
      <c r="M119" s="45" t="s">
        <v>26</v>
      </c>
      <c r="N119" s="45" t="s">
        <v>102</v>
      </c>
      <c r="O119" s="46" t="s">
        <v>134</v>
      </c>
      <c r="P119" s="150" t="s">
        <v>29</v>
      </c>
    </row>
    <row r="120" spans="1:16" s="23" customFormat="1" ht="13.15">
      <c r="A120" s="167">
        <v>10</v>
      </c>
      <c r="B120" s="161" t="s">
        <v>322</v>
      </c>
      <c r="C120" s="168" t="s">
        <v>345</v>
      </c>
      <c r="D120" s="165" t="s">
        <v>344</v>
      </c>
      <c r="E120" s="167" t="s">
        <v>183</v>
      </c>
      <c r="F120" s="166">
        <f t="shared" si="3"/>
        <v>5000</v>
      </c>
      <c r="G120" s="166">
        <v>53820</v>
      </c>
      <c r="H120" s="167" t="s">
        <v>211</v>
      </c>
      <c r="I120" s="150" t="s">
        <v>63</v>
      </c>
      <c r="J120" s="167" t="s">
        <v>101</v>
      </c>
      <c r="K120" s="167">
        <v>10</v>
      </c>
      <c r="L120" s="165" t="s">
        <v>118</v>
      </c>
      <c r="M120" s="45" t="s">
        <v>26</v>
      </c>
      <c r="N120" s="45" t="s">
        <v>49</v>
      </c>
      <c r="O120" s="46" t="s">
        <v>28</v>
      </c>
      <c r="P120" s="150" t="s">
        <v>29</v>
      </c>
    </row>
    <row r="121" spans="1:16" s="23" customFormat="1" ht="13.15">
      <c r="A121" s="167">
        <v>11</v>
      </c>
      <c r="B121" s="161" t="s">
        <v>322</v>
      </c>
      <c r="C121" s="168" t="s">
        <v>346</v>
      </c>
      <c r="D121" s="165" t="s">
        <v>347</v>
      </c>
      <c r="E121" s="167" t="s">
        <v>183</v>
      </c>
      <c r="F121" s="166">
        <f t="shared" si="3"/>
        <v>4270.99591230026</v>
      </c>
      <c r="G121" s="166">
        <v>45973</v>
      </c>
      <c r="H121" s="167" t="s">
        <v>348</v>
      </c>
      <c r="I121" s="150" t="s">
        <v>96</v>
      </c>
      <c r="J121" s="167" t="s">
        <v>39</v>
      </c>
      <c r="K121" s="167">
        <v>7</v>
      </c>
      <c r="L121" s="165" t="s">
        <v>118</v>
      </c>
      <c r="M121" s="45" t="s">
        <v>26</v>
      </c>
      <c r="N121" s="45" t="s">
        <v>77</v>
      </c>
      <c r="O121" s="46" t="s">
        <v>28</v>
      </c>
      <c r="P121" s="150" t="s">
        <v>29</v>
      </c>
    </row>
    <row r="122" spans="1:16" s="23" customFormat="1" ht="13.15">
      <c r="A122" s="167">
        <v>12</v>
      </c>
      <c r="B122" s="161" t="s">
        <v>322</v>
      </c>
      <c r="C122" s="168" t="s">
        <v>349</v>
      </c>
      <c r="D122" s="165" t="s">
        <v>347</v>
      </c>
      <c r="E122" s="167" t="s">
        <v>183</v>
      </c>
      <c r="F122" s="166">
        <f t="shared" si="3"/>
        <v>9858.5098476402836</v>
      </c>
      <c r="G122" s="166">
        <v>106117</v>
      </c>
      <c r="H122" s="167" t="s">
        <v>188</v>
      </c>
      <c r="I122" s="150" t="s">
        <v>32</v>
      </c>
      <c r="J122" s="167" t="s">
        <v>157</v>
      </c>
      <c r="K122" s="167">
        <v>7</v>
      </c>
      <c r="L122" s="165" t="s">
        <v>53</v>
      </c>
      <c r="M122" s="45" t="s">
        <v>26</v>
      </c>
      <c r="N122" s="45" t="s">
        <v>102</v>
      </c>
      <c r="O122" s="46" t="s">
        <v>28</v>
      </c>
      <c r="P122" s="150" t="s">
        <v>29</v>
      </c>
    </row>
    <row r="123" spans="1:16" s="26" customFormat="1" ht="12.75">
      <c r="A123" s="222" t="s">
        <v>350</v>
      </c>
      <c r="B123" s="222"/>
      <c r="C123" s="222"/>
      <c r="D123" s="222"/>
      <c r="E123" s="222"/>
      <c r="F123" s="24">
        <f>SUM(F111:F122)</f>
        <v>117027.49907097734</v>
      </c>
      <c r="G123" s="223">
        <f>SUM(G111:G122)</f>
        <v>1259684</v>
      </c>
      <c r="H123" s="223"/>
      <c r="I123" s="223"/>
      <c r="J123" s="223"/>
      <c r="K123" s="223"/>
      <c r="L123" s="223"/>
      <c r="M123" s="210"/>
      <c r="N123" s="210"/>
      <c r="O123" s="25"/>
      <c r="P123" s="210"/>
    </row>
    <row r="124" spans="1:16" s="29" customFormat="1" ht="20.25">
      <c r="A124" s="16" t="s">
        <v>351</v>
      </c>
      <c r="B124" s="17"/>
      <c r="C124" s="17"/>
      <c r="D124" s="17"/>
      <c r="E124" s="44"/>
      <c r="F124" s="44"/>
      <c r="G124" s="17"/>
      <c r="H124" s="17"/>
      <c r="I124" s="17"/>
      <c r="J124" s="17"/>
      <c r="K124" s="17"/>
      <c r="L124" s="17"/>
      <c r="M124" s="17"/>
      <c r="N124" s="17"/>
      <c r="O124" s="17"/>
      <c r="P124" s="27"/>
    </row>
    <row r="125" spans="1:16" s="23" customFormat="1" ht="13.15">
      <c r="A125" s="167"/>
      <c r="B125" s="171"/>
      <c r="C125" s="191"/>
      <c r="D125" s="171"/>
      <c r="E125" s="43"/>
      <c r="F125" s="42"/>
      <c r="G125" s="42"/>
      <c r="H125" s="43"/>
      <c r="I125" s="150"/>
      <c r="J125" s="167"/>
      <c r="K125" s="167"/>
      <c r="L125" s="165"/>
      <c r="M125" s="45"/>
      <c r="N125" s="45"/>
      <c r="O125" s="46"/>
      <c r="P125" s="150"/>
    </row>
    <row r="126" spans="1:16" s="26" customFormat="1" ht="12.75">
      <c r="A126" s="222" t="s">
        <v>352</v>
      </c>
      <c r="B126" s="222"/>
      <c r="C126" s="222"/>
      <c r="D126" s="222"/>
      <c r="E126" s="222"/>
      <c r="F126" s="24">
        <f>SUM(F125:F125)</f>
        <v>0</v>
      </c>
      <c r="G126" s="223">
        <f>SUM(G125:G125)</f>
        <v>0</v>
      </c>
      <c r="H126" s="223"/>
      <c r="I126" s="223"/>
      <c r="J126" s="223"/>
      <c r="K126" s="223"/>
      <c r="L126" s="223"/>
      <c r="M126" s="210"/>
      <c r="N126" s="210"/>
      <c r="O126" s="25"/>
      <c r="P126" s="210"/>
    </row>
    <row r="127" spans="1:16" s="51" customFormat="1" ht="15.4">
      <c r="A127" s="224" t="s">
        <v>353</v>
      </c>
      <c r="B127" s="224"/>
      <c r="C127" s="224"/>
      <c r="D127" s="224"/>
      <c r="E127" s="224"/>
      <c r="F127" s="47">
        <f>SUM(F52+F59+F66+F69+F88+F106+F109+F123+F126)</f>
        <v>1120820.9522482348</v>
      </c>
      <c r="G127" s="13">
        <f>SUM(G52+G59+G66+G69+G88+G106+G109+G123+G126)</f>
        <v>12064516.73</v>
      </c>
      <c r="H127" s="48"/>
      <c r="I127" s="49"/>
      <c r="J127" s="48"/>
      <c r="K127" s="50"/>
      <c r="L127" s="48"/>
      <c r="M127" s="48"/>
      <c r="N127" s="48"/>
      <c r="O127" s="48"/>
      <c r="P127" s="50"/>
    </row>
    <row r="136" spans="3:7">
      <c r="C136"/>
      <c r="E136"/>
      <c r="G136"/>
    </row>
    <row r="137" spans="3:7">
      <c r="C137"/>
      <c r="E137"/>
    </row>
    <row r="140" spans="3:7">
      <c r="E140" s="183"/>
    </row>
    <row r="142" spans="3:7">
      <c r="E142" s="183"/>
    </row>
    <row r="144" spans="3:7">
      <c r="E144" s="183"/>
      <c r="G144"/>
    </row>
  </sheetData>
  <autoFilter ref="A4:P127" xr:uid="{CFD705E7-85D7-4836-B708-667FA81B297A}"/>
  <mergeCells count="21">
    <mergeCell ref="A126:E126"/>
    <mergeCell ref="G126:L126"/>
    <mergeCell ref="A127:E127"/>
    <mergeCell ref="A106:E106"/>
    <mergeCell ref="G106:P106"/>
    <mergeCell ref="A109:E109"/>
    <mergeCell ref="G109:L109"/>
    <mergeCell ref="A123:E123"/>
    <mergeCell ref="G123:L123"/>
    <mergeCell ref="A66:E66"/>
    <mergeCell ref="G66:L66"/>
    <mergeCell ref="A69:E69"/>
    <mergeCell ref="G69:L69"/>
    <mergeCell ref="A88:E88"/>
    <mergeCell ref="G88:L88"/>
    <mergeCell ref="A2:P2"/>
    <mergeCell ref="A3:P3"/>
    <mergeCell ref="A52:E52"/>
    <mergeCell ref="G52:L52"/>
    <mergeCell ref="A59:E59"/>
    <mergeCell ref="G59:L59"/>
  </mergeCells>
  <pageMargins left="0.70866141732283472" right="0.70866141732283472" top="0.74803149606299213" bottom="0.74803149606299213" header="0.31496062992125984" footer="0.31496062992125984"/>
  <pageSetup paperSize="17"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92DD-58EB-44A2-9E17-E7794BDCBC32}">
  <sheetPr codeName="Hoja2"/>
  <dimension ref="A1:S54"/>
  <sheetViews>
    <sheetView showWhiteSpace="0" zoomScaleNormal="100" zoomScaleSheetLayoutView="90" workbookViewId="0">
      <selection activeCell="C7" sqref="C7"/>
    </sheetView>
  </sheetViews>
  <sheetFormatPr defaultColWidth="11.42578125" defaultRowHeight="14.25"/>
  <cols>
    <col min="1" max="1" width="3" customWidth="1"/>
    <col min="2" max="2" width="17.7109375" customWidth="1"/>
    <col min="3" max="3" width="27.7109375" customWidth="1"/>
    <col min="4" max="4" width="37.5703125" customWidth="1"/>
    <col min="5" max="5" width="22.42578125" customWidth="1"/>
    <col min="6" max="6" width="16.7109375" bestFit="1" customWidth="1"/>
    <col min="7" max="7" width="21" customWidth="1"/>
    <col min="8" max="8" width="13.5703125" customWidth="1"/>
    <col min="9" max="9" width="18" customWidth="1"/>
    <col min="10" max="10" width="34.42578125" customWidth="1"/>
    <col min="11" max="11" width="11.140625" customWidth="1"/>
  </cols>
  <sheetData>
    <row r="1" spans="1:19" s="54" customFormat="1" ht="21.75">
      <c r="A1" s="231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52"/>
      <c r="M1" s="52"/>
      <c r="N1" s="52"/>
      <c r="O1" s="52"/>
      <c r="P1" s="53"/>
      <c r="Q1" s="53"/>
      <c r="R1" s="53"/>
      <c r="S1" s="53"/>
    </row>
    <row r="2" spans="1:19" s="54" customFormat="1">
      <c r="A2" s="232" t="s">
        <v>354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53"/>
      <c r="M2" s="53"/>
      <c r="N2" s="53"/>
      <c r="O2" s="53"/>
      <c r="P2" s="53"/>
      <c r="Q2" s="53"/>
      <c r="R2" s="53"/>
      <c r="S2" s="53"/>
    </row>
    <row r="3" spans="1:19" s="56" customFormat="1" ht="15" customHeight="1">
      <c r="A3" s="180"/>
      <c r="B3" s="55"/>
    </row>
    <row r="4" spans="1:19" s="63" customFormat="1" ht="15" customHeight="1">
      <c r="A4" s="57"/>
      <c r="B4" s="58" t="s">
        <v>2</v>
      </c>
      <c r="C4" s="59" t="s">
        <v>355</v>
      </c>
      <c r="D4" s="59" t="s">
        <v>356</v>
      </c>
      <c r="E4" s="59" t="s">
        <v>5</v>
      </c>
      <c r="F4" s="59" t="s">
        <v>357</v>
      </c>
      <c r="G4" s="60" t="s">
        <v>358</v>
      </c>
      <c r="H4" s="61" t="s">
        <v>359</v>
      </c>
      <c r="I4" s="62" t="s">
        <v>360</v>
      </c>
      <c r="J4" s="59" t="s">
        <v>13</v>
      </c>
      <c r="K4" s="59" t="s">
        <v>361</v>
      </c>
      <c r="L4" s="56"/>
      <c r="M4" s="56"/>
      <c r="N4" s="56"/>
      <c r="O4" s="56"/>
      <c r="P4" s="56"/>
      <c r="Q4" s="56"/>
      <c r="R4" s="56"/>
      <c r="S4" s="56"/>
    </row>
    <row r="5" spans="1:19" s="54" customFormat="1" ht="15" customHeight="1">
      <c r="A5" s="148"/>
      <c r="B5" s="229" t="s">
        <v>17</v>
      </c>
      <c r="C5" s="230"/>
      <c r="D5" s="230"/>
      <c r="E5" s="230"/>
      <c r="F5" s="230"/>
      <c r="G5" s="230"/>
      <c r="H5" s="230"/>
      <c r="I5" s="230"/>
      <c r="J5" s="179"/>
      <c r="K5" s="64"/>
      <c r="L5" s="65"/>
      <c r="M5" s="66"/>
      <c r="N5" s="53"/>
      <c r="O5" s="53"/>
      <c r="P5" s="53"/>
      <c r="Q5" s="53"/>
      <c r="R5" s="53"/>
      <c r="S5" s="53"/>
    </row>
    <row r="6" spans="1:19" s="26" customFormat="1" ht="14.25" customHeight="1">
      <c r="A6" s="167">
        <v>1</v>
      </c>
      <c r="B6" s="168" t="s">
        <v>18</v>
      </c>
      <c r="C6" s="168" t="s">
        <v>66</v>
      </c>
      <c r="D6" s="158" t="s">
        <v>65</v>
      </c>
      <c r="E6" s="158" t="s">
        <v>61</v>
      </c>
      <c r="F6" s="166">
        <f t="shared" ref="F6:F9" si="0">H6/10.764</f>
        <v>13000</v>
      </c>
      <c r="G6" s="166">
        <f t="shared" ref="G6" si="1">I6/10.764</f>
        <v>5000</v>
      </c>
      <c r="H6" s="166">
        <v>139932</v>
      </c>
      <c r="I6" s="166">
        <v>53820</v>
      </c>
      <c r="J6" s="159"/>
      <c r="K6" s="147" t="s">
        <v>29</v>
      </c>
    </row>
    <row r="7" spans="1:19" s="26" customFormat="1" ht="14.25" customHeight="1">
      <c r="A7" s="167">
        <v>2</v>
      </c>
      <c r="B7" s="168" t="s">
        <v>18</v>
      </c>
      <c r="C7" s="168" t="s">
        <v>362</v>
      </c>
      <c r="D7" s="158" t="s">
        <v>363</v>
      </c>
      <c r="E7" s="158" t="s">
        <v>61</v>
      </c>
      <c r="F7" s="166">
        <f t="shared" si="0"/>
        <v>6375.3251579338539</v>
      </c>
      <c r="G7" s="166">
        <f t="shared" ref="G7:G9" si="2">I7/10.764</f>
        <v>615.38461538461547</v>
      </c>
      <c r="H7" s="166">
        <v>68624</v>
      </c>
      <c r="I7" s="166">
        <v>6624</v>
      </c>
      <c r="J7" s="159"/>
      <c r="K7" s="147" t="s">
        <v>29</v>
      </c>
    </row>
    <row r="8" spans="1:19" s="26" customFormat="1" ht="14.25" customHeight="1">
      <c r="A8" s="167">
        <v>3</v>
      </c>
      <c r="B8" s="168" t="s">
        <v>18</v>
      </c>
      <c r="C8" s="168" t="s">
        <v>364</v>
      </c>
      <c r="D8" s="158" t="s">
        <v>363</v>
      </c>
      <c r="E8" s="158" t="s">
        <v>61</v>
      </c>
      <c r="F8" s="166">
        <f t="shared" si="0"/>
        <v>6375.3251579338539</v>
      </c>
      <c r="G8" s="166">
        <f t="shared" si="2"/>
        <v>1230.6763285024156</v>
      </c>
      <c r="H8" s="166">
        <v>68624</v>
      </c>
      <c r="I8" s="166">
        <v>13247</v>
      </c>
      <c r="J8" s="159"/>
      <c r="K8" s="147" t="s">
        <v>29</v>
      </c>
    </row>
    <row r="9" spans="1:19" s="26" customFormat="1" ht="14.25" customHeight="1">
      <c r="A9" s="167">
        <v>4</v>
      </c>
      <c r="B9" s="168" t="s">
        <v>18</v>
      </c>
      <c r="C9" s="168" t="s">
        <v>365</v>
      </c>
      <c r="D9" s="158" t="s">
        <v>363</v>
      </c>
      <c r="E9" s="158" t="s">
        <v>61</v>
      </c>
      <c r="F9" s="166">
        <f t="shared" si="0"/>
        <v>13126.347082868822</v>
      </c>
      <c r="G9" s="166">
        <f t="shared" si="2"/>
        <v>1299.981419546637</v>
      </c>
      <c r="H9" s="166">
        <v>141292</v>
      </c>
      <c r="I9" s="166">
        <v>13993</v>
      </c>
      <c r="J9" s="159"/>
      <c r="K9" s="147" t="s">
        <v>29</v>
      </c>
    </row>
    <row r="10" spans="1:19" s="26" customFormat="1" ht="13.15">
      <c r="A10" s="167">
        <v>5</v>
      </c>
      <c r="B10" s="168" t="s">
        <v>18</v>
      </c>
      <c r="C10" s="165" t="s">
        <v>366</v>
      </c>
      <c r="D10" s="165" t="s">
        <v>367</v>
      </c>
      <c r="E10" s="165" t="s">
        <v>368</v>
      </c>
      <c r="F10" s="166">
        <f t="shared" ref="F10:G11" si="3">H10/10.764</f>
        <v>38225.009290226684</v>
      </c>
      <c r="G10" s="166">
        <f t="shared" si="3"/>
        <v>209.95912300260127</v>
      </c>
      <c r="H10" s="166">
        <v>411454</v>
      </c>
      <c r="I10" s="166">
        <v>2260</v>
      </c>
      <c r="J10" s="166"/>
      <c r="K10" s="147" t="s">
        <v>29</v>
      </c>
      <c r="L10" s="67"/>
      <c r="M10" s="175"/>
      <c r="N10" s="175"/>
      <c r="O10" s="175"/>
    </row>
    <row r="11" spans="1:19" s="26" customFormat="1" ht="13.15">
      <c r="A11" s="167">
        <v>6</v>
      </c>
      <c r="B11" s="168" t="s">
        <v>18</v>
      </c>
      <c r="C11" s="168" t="s">
        <v>369</v>
      </c>
      <c r="D11" s="158" t="s">
        <v>370</v>
      </c>
      <c r="E11" s="158" t="s">
        <v>371</v>
      </c>
      <c r="F11" s="166">
        <f t="shared" si="3"/>
        <v>2028.985507246377</v>
      </c>
      <c r="G11" s="166">
        <f t="shared" ref="G11" si="4">I11/10.764</f>
        <v>2028.985507246377</v>
      </c>
      <c r="H11" s="166">
        <v>21840</v>
      </c>
      <c r="I11" s="166">
        <v>21840</v>
      </c>
      <c r="J11" s="159"/>
      <c r="K11" s="147" t="s">
        <v>42</v>
      </c>
      <c r="L11" s="67"/>
      <c r="O11" s="175"/>
    </row>
    <row r="12" spans="1:19" s="26" customFormat="1" ht="14.1" customHeight="1">
      <c r="A12" s="167">
        <v>7</v>
      </c>
      <c r="B12" s="168" t="s">
        <v>18</v>
      </c>
      <c r="C12" s="168" t="s">
        <v>123</v>
      </c>
      <c r="D12" s="168" t="s">
        <v>121</v>
      </c>
      <c r="E12" s="168" t="s">
        <v>122</v>
      </c>
      <c r="F12" s="166">
        <f t="shared" ref="F12:G17" si="5">H12/10.764</f>
        <v>7043.9427722036426</v>
      </c>
      <c r="G12" s="166">
        <f t="shared" si="5"/>
        <v>3521.9249349684133</v>
      </c>
      <c r="H12" s="166">
        <v>75821</v>
      </c>
      <c r="I12" s="166">
        <v>37910</v>
      </c>
      <c r="J12" s="42"/>
      <c r="K12" s="147" t="s">
        <v>29</v>
      </c>
      <c r="L12" s="160"/>
      <c r="M12" s="184"/>
    </row>
    <row r="13" spans="1:19" s="26" customFormat="1" ht="14.1" customHeight="1">
      <c r="A13" s="167">
        <v>8</v>
      </c>
      <c r="B13" s="168" t="s">
        <v>18</v>
      </c>
      <c r="C13" s="168" t="s">
        <v>372</v>
      </c>
      <c r="D13" s="158" t="s">
        <v>373</v>
      </c>
      <c r="E13" s="158" t="s">
        <v>374</v>
      </c>
      <c r="F13" s="166">
        <f t="shared" si="5"/>
        <v>9985.9717577108895</v>
      </c>
      <c r="G13" s="166">
        <f t="shared" si="5"/>
        <v>9985.9717577108895</v>
      </c>
      <c r="H13" s="166">
        <v>107489</v>
      </c>
      <c r="I13" s="166">
        <v>107489</v>
      </c>
      <c r="J13" s="159"/>
      <c r="K13" s="147" t="s">
        <v>42</v>
      </c>
      <c r="L13" s="160"/>
    </row>
    <row r="14" spans="1:19" s="26" customFormat="1" ht="14.1" customHeight="1">
      <c r="A14" s="167">
        <v>9</v>
      </c>
      <c r="B14" s="168" t="s">
        <v>18</v>
      </c>
      <c r="C14" s="168" t="s">
        <v>375</v>
      </c>
      <c r="D14" s="158" t="s">
        <v>373</v>
      </c>
      <c r="E14" s="158" t="s">
        <v>374</v>
      </c>
      <c r="F14" s="166">
        <f t="shared" si="5"/>
        <v>2878.0193236714977</v>
      </c>
      <c r="G14" s="166">
        <f t="shared" si="5"/>
        <v>2878.0193236714977</v>
      </c>
      <c r="H14" s="166">
        <v>30979</v>
      </c>
      <c r="I14" s="166">
        <v>30979</v>
      </c>
      <c r="J14" s="159"/>
      <c r="K14" s="147" t="s">
        <v>42</v>
      </c>
      <c r="L14" s="160"/>
    </row>
    <row r="15" spans="1:19" s="26" customFormat="1" ht="14.1" customHeight="1">
      <c r="A15" s="167">
        <v>10</v>
      </c>
      <c r="B15" s="168" t="s">
        <v>18</v>
      </c>
      <c r="C15" s="168" t="s">
        <v>376</v>
      </c>
      <c r="D15" s="168" t="s">
        <v>377</v>
      </c>
      <c r="E15" s="168" t="s">
        <v>150</v>
      </c>
      <c r="F15" s="166">
        <f t="shared" si="5"/>
        <v>19302.768487551097</v>
      </c>
      <c r="G15" s="166">
        <f t="shared" si="5"/>
        <v>8264.2140468227426</v>
      </c>
      <c r="H15" s="166">
        <v>207775</v>
      </c>
      <c r="I15" s="166">
        <v>88956</v>
      </c>
      <c r="J15" s="42"/>
      <c r="K15" s="147" t="s">
        <v>29</v>
      </c>
      <c r="L15" s="160"/>
    </row>
    <row r="16" spans="1:19" s="26" customFormat="1" ht="14.1" customHeight="1">
      <c r="A16" s="167">
        <v>11</v>
      </c>
      <c r="B16" s="168" t="s">
        <v>18</v>
      </c>
      <c r="C16" s="168" t="s">
        <v>378</v>
      </c>
      <c r="D16" s="168" t="s">
        <v>379</v>
      </c>
      <c r="E16" s="168" t="s">
        <v>150</v>
      </c>
      <c r="F16" s="166">
        <f t="shared" si="5"/>
        <v>9661.8357487922713</v>
      </c>
      <c r="G16" s="166">
        <f t="shared" si="5"/>
        <v>9661.8357487922713</v>
      </c>
      <c r="H16" s="166">
        <v>104000</v>
      </c>
      <c r="I16" s="166">
        <v>104000</v>
      </c>
      <c r="J16" s="42"/>
      <c r="K16" s="147" t="s">
        <v>29</v>
      </c>
      <c r="L16" s="160"/>
    </row>
    <row r="17" spans="1:19" s="26" customFormat="1" ht="13.15">
      <c r="A17" s="167">
        <v>12</v>
      </c>
      <c r="B17" s="168" t="s">
        <v>18</v>
      </c>
      <c r="C17" s="168" t="s">
        <v>100</v>
      </c>
      <c r="D17" s="168" t="s">
        <v>380</v>
      </c>
      <c r="E17" s="168" t="s">
        <v>381</v>
      </c>
      <c r="F17" s="166">
        <f t="shared" si="5"/>
        <v>23399.758454106282</v>
      </c>
      <c r="G17" s="166">
        <f t="shared" si="5"/>
        <v>23399.758454106282</v>
      </c>
      <c r="H17" s="166">
        <v>251875</v>
      </c>
      <c r="I17" s="166">
        <v>251875</v>
      </c>
      <c r="J17" s="166"/>
      <c r="K17" s="147" t="s">
        <v>42</v>
      </c>
      <c r="L17" s="67"/>
      <c r="M17" s="175"/>
      <c r="N17" s="175"/>
      <c r="O17" s="175"/>
    </row>
    <row r="18" spans="1:19" s="26" customFormat="1" ht="13.15">
      <c r="A18" s="167"/>
      <c r="B18" s="226" t="s">
        <v>353</v>
      </c>
      <c r="C18" s="227"/>
      <c r="D18" s="227"/>
      <c r="E18" s="227"/>
      <c r="F18" s="227"/>
      <c r="G18" s="227"/>
      <c r="H18" s="228"/>
      <c r="I18" s="68">
        <f>SUM(I6:I17)</f>
        <v>732993</v>
      </c>
      <c r="J18" s="68"/>
      <c r="K18" s="147"/>
      <c r="L18" s="175"/>
      <c r="M18" s="175"/>
      <c r="N18" s="175"/>
      <c r="O18" s="175"/>
      <c r="P18" s="175"/>
      <c r="Q18" s="175"/>
      <c r="R18" s="175"/>
      <c r="S18" s="175"/>
    </row>
    <row r="19" spans="1:19" s="54" customFormat="1">
      <c r="A19" s="148"/>
      <c r="B19" s="229" t="s">
        <v>227</v>
      </c>
      <c r="C19" s="230"/>
      <c r="D19" s="230"/>
      <c r="E19" s="230"/>
      <c r="F19" s="230"/>
      <c r="G19" s="230"/>
      <c r="H19" s="230"/>
      <c r="I19" s="230"/>
      <c r="J19" s="179"/>
      <c r="K19" s="181"/>
      <c r="L19" s="69"/>
      <c r="M19" s="53"/>
      <c r="N19" s="53"/>
      <c r="O19" s="53"/>
      <c r="P19" s="53"/>
      <c r="Q19" s="53"/>
      <c r="R19" s="53"/>
      <c r="S19" s="53"/>
    </row>
    <row r="20" spans="1:19" s="26" customFormat="1" ht="13.15">
      <c r="A20" s="167">
        <v>1</v>
      </c>
      <c r="B20" s="168" t="s">
        <v>228</v>
      </c>
      <c r="C20" s="168" t="s">
        <v>382</v>
      </c>
      <c r="D20" s="168" t="s">
        <v>254</v>
      </c>
      <c r="E20" s="168" t="s">
        <v>255</v>
      </c>
      <c r="F20" s="166">
        <f>H20/10.764</f>
        <v>5549.981419546637</v>
      </c>
      <c r="G20" s="166">
        <f>I20/10.764</f>
        <v>5549.981419546637</v>
      </c>
      <c r="H20" s="166">
        <v>59740</v>
      </c>
      <c r="I20" s="166">
        <v>59740</v>
      </c>
      <c r="J20" s="166"/>
      <c r="K20" s="147" t="s">
        <v>29</v>
      </c>
      <c r="L20" s="176"/>
      <c r="M20" s="175"/>
      <c r="N20" s="175"/>
      <c r="O20" s="175"/>
      <c r="P20" s="175"/>
      <c r="Q20" s="175"/>
      <c r="R20" s="175"/>
      <c r="S20" s="175"/>
    </row>
    <row r="21" spans="1:19" s="26" customFormat="1" ht="13.15">
      <c r="A21" s="167">
        <v>2</v>
      </c>
      <c r="B21" s="168" t="s">
        <v>228</v>
      </c>
      <c r="C21" s="168" t="s">
        <v>330</v>
      </c>
      <c r="D21" s="168" t="s">
        <v>383</v>
      </c>
      <c r="E21" s="168" t="s">
        <v>302</v>
      </c>
      <c r="F21" s="166">
        <f t="shared" ref="F21:G23" si="6">H21/10.764</f>
        <v>2574.0431066518026</v>
      </c>
      <c r="G21" s="166">
        <f t="shared" si="6"/>
        <v>2574.0431066518026</v>
      </c>
      <c r="H21" s="166">
        <v>27707</v>
      </c>
      <c r="I21" s="166">
        <v>27707</v>
      </c>
      <c r="J21" s="177"/>
      <c r="K21" s="147" t="s">
        <v>42</v>
      </c>
      <c r="L21" s="176"/>
      <c r="M21" s="175"/>
      <c r="N21" s="175"/>
      <c r="O21" s="175"/>
      <c r="P21" s="175"/>
      <c r="Q21" s="175"/>
      <c r="R21" s="175"/>
      <c r="S21" s="175"/>
    </row>
    <row r="22" spans="1:19" s="26" customFormat="1" ht="13.15">
      <c r="A22" s="167">
        <v>3</v>
      </c>
      <c r="B22" s="168" t="s">
        <v>228</v>
      </c>
      <c r="C22" s="168" t="s">
        <v>66</v>
      </c>
      <c r="D22" s="168" t="s">
        <v>383</v>
      </c>
      <c r="E22" s="168" t="s">
        <v>302</v>
      </c>
      <c r="F22" s="166">
        <f t="shared" si="6"/>
        <v>2979.00408769974</v>
      </c>
      <c r="G22" s="166">
        <f t="shared" si="6"/>
        <v>2979.00408769974</v>
      </c>
      <c r="H22" s="166">
        <v>32066</v>
      </c>
      <c r="I22" s="166">
        <v>32066</v>
      </c>
      <c r="J22" s="177"/>
      <c r="K22" s="147" t="s">
        <v>42</v>
      </c>
      <c r="L22" s="176"/>
      <c r="M22" s="175"/>
      <c r="N22" s="175"/>
      <c r="O22" s="175"/>
      <c r="P22" s="175"/>
      <c r="Q22" s="175"/>
      <c r="R22" s="175"/>
      <c r="S22" s="175"/>
    </row>
    <row r="23" spans="1:19" s="26" customFormat="1" ht="13.15">
      <c r="A23" s="167">
        <v>4</v>
      </c>
      <c r="B23" s="168" t="s">
        <v>228</v>
      </c>
      <c r="C23" s="168" t="s">
        <v>252</v>
      </c>
      <c r="D23" s="168" t="s">
        <v>250</v>
      </c>
      <c r="E23" s="168" t="s">
        <v>251</v>
      </c>
      <c r="F23" s="166">
        <f t="shared" si="6"/>
        <v>18586.956521739132</v>
      </c>
      <c r="G23" s="166">
        <f t="shared" si="6"/>
        <v>2799.981419546637</v>
      </c>
      <c r="H23" s="166">
        <v>200070</v>
      </c>
      <c r="I23" s="166">
        <v>30139</v>
      </c>
      <c r="J23" s="177"/>
      <c r="K23" s="147" t="s">
        <v>29</v>
      </c>
      <c r="L23" s="176"/>
      <c r="M23" s="175"/>
      <c r="N23" s="175"/>
      <c r="O23" s="175"/>
      <c r="P23" s="175"/>
      <c r="Q23" s="175"/>
      <c r="R23" s="175"/>
      <c r="S23" s="175"/>
    </row>
    <row r="24" spans="1:19" s="26" customFormat="1" ht="13.15">
      <c r="A24" s="167"/>
      <c r="B24" s="226" t="s">
        <v>353</v>
      </c>
      <c r="C24" s="227"/>
      <c r="D24" s="227"/>
      <c r="E24" s="227"/>
      <c r="F24" s="227"/>
      <c r="G24" s="227"/>
      <c r="H24" s="228"/>
      <c r="I24" s="68">
        <f>SUM(I20:I23)</f>
        <v>149652</v>
      </c>
      <c r="J24" s="68"/>
      <c r="K24" s="167"/>
      <c r="L24" s="175"/>
      <c r="M24" s="175"/>
      <c r="N24" s="175"/>
    </row>
    <row r="25" spans="1:19" s="54" customFormat="1">
      <c r="A25" s="148"/>
      <c r="B25" s="229" t="s">
        <v>225</v>
      </c>
      <c r="C25" s="230"/>
      <c r="D25" s="230"/>
      <c r="E25" s="230"/>
      <c r="F25" s="230"/>
      <c r="G25" s="230"/>
      <c r="H25" s="230"/>
      <c r="I25" s="230"/>
      <c r="J25" s="179"/>
      <c r="K25" s="70"/>
      <c r="L25" s="53"/>
      <c r="M25" s="53"/>
      <c r="N25" s="53"/>
      <c r="O25" s="53"/>
      <c r="P25" s="53"/>
      <c r="Q25" s="53"/>
      <c r="R25" s="53"/>
      <c r="S25" s="53"/>
    </row>
    <row r="26" spans="1:19" s="26" customFormat="1" ht="14.1" customHeight="1">
      <c r="A26" s="167">
        <v>1</v>
      </c>
      <c r="B26" s="168" t="s">
        <v>384</v>
      </c>
      <c r="C26" s="168" t="s">
        <v>385</v>
      </c>
      <c r="D26" s="168" t="s">
        <v>386</v>
      </c>
      <c r="E26" s="168" t="s">
        <v>387</v>
      </c>
      <c r="F26" s="166">
        <f t="shared" ref="F26" si="7">H26/10.764</f>
        <v>15750.000000000002</v>
      </c>
      <c r="G26" s="166">
        <f>I26/10.764</f>
        <v>10150.966183574879</v>
      </c>
      <c r="H26" s="166">
        <v>169533</v>
      </c>
      <c r="I26" s="166">
        <v>109265</v>
      </c>
      <c r="J26" s="159"/>
      <c r="K26" s="147" t="s">
        <v>29</v>
      </c>
      <c r="L26" s="175"/>
      <c r="M26" s="175"/>
      <c r="N26" s="175"/>
    </row>
    <row r="27" spans="1:19" s="26" customFormat="1" ht="14.1" customHeight="1">
      <c r="A27" s="167"/>
      <c r="B27" s="226" t="s">
        <v>353</v>
      </c>
      <c r="C27" s="227"/>
      <c r="D27" s="227"/>
      <c r="E27" s="227"/>
      <c r="F27" s="227"/>
      <c r="G27" s="227"/>
      <c r="H27" s="228"/>
      <c r="I27" s="68">
        <f>SUM(I26:I26)</f>
        <v>109265</v>
      </c>
      <c r="J27" s="68"/>
      <c r="K27" s="167"/>
      <c r="L27" s="175"/>
      <c r="M27" s="175"/>
      <c r="N27" s="175"/>
      <c r="O27" s="175"/>
      <c r="P27" s="175"/>
      <c r="Q27" s="175"/>
      <c r="R27" s="175"/>
      <c r="S27" s="175"/>
    </row>
    <row r="28" spans="1:19" s="54" customFormat="1">
      <c r="A28" s="148"/>
      <c r="B28" s="229" t="s">
        <v>196</v>
      </c>
      <c r="C28" s="230"/>
      <c r="D28" s="230"/>
      <c r="E28" s="230"/>
      <c r="F28" s="230"/>
      <c r="G28" s="230"/>
      <c r="H28" s="230"/>
      <c r="I28" s="230"/>
      <c r="J28" s="179"/>
      <c r="K28" s="70"/>
      <c r="L28" s="53"/>
      <c r="M28" s="53"/>
      <c r="N28" s="53"/>
      <c r="O28" s="53"/>
      <c r="P28" s="53"/>
      <c r="Q28" s="53"/>
      <c r="R28" s="53"/>
      <c r="S28" s="53"/>
    </row>
    <row r="29" spans="1:19" s="26" customFormat="1" ht="14.1" customHeight="1">
      <c r="A29" s="167">
        <v>1</v>
      </c>
      <c r="B29" s="168" t="s">
        <v>197</v>
      </c>
      <c r="C29" s="168" t="s">
        <v>123</v>
      </c>
      <c r="D29" s="168" t="s">
        <v>388</v>
      </c>
      <c r="E29" s="168" t="s">
        <v>389</v>
      </c>
      <c r="F29" s="166">
        <f t="shared" ref="F29:G30" si="8">H29/10.764</f>
        <v>10000</v>
      </c>
      <c r="G29" s="166">
        <f t="shared" si="8"/>
        <v>5000</v>
      </c>
      <c r="H29" s="166">
        <v>107640</v>
      </c>
      <c r="I29" s="166">
        <v>53820</v>
      </c>
      <c r="J29" s="159"/>
      <c r="K29" s="147" t="s">
        <v>42</v>
      </c>
    </row>
    <row r="30" spans="1:19" s="26" customFormat="1" ht="14.1" customHeight="1">
      <c r="A30" s="167">
        <v>2</v>
      </c>
      <c r="B30" s="168" t="s">
        <v>197</v>
      </c>
      <c r="C30" s="168" t="s">
        <v>390</v>
      </c>
      <c r="D30" s="168" t="s">
        <v>391</v>
      </c>
      <c r="E30" s="168" t="s">
        <v>206</v>
      </c>
      <c r="F30" s="166">
        <f t="shared" si="8"/>
        <v>23289.762170196955</v>
      </c>
      <c r="G30" s="166">
        <f t="shared" si="8"/>
        <v>23289.762170196955</v>
      </c>
      <c r="H30" s="166">
        <v>250691</v>
      </c>
      <c r="I30" s="166">
        <v>250691</v>
      </c>
      <c r="J30" s="159"/>
      <c r="K30" s="147" t="s">
        <v>29</v>
      </c>
    </row>
    <row r="31" spans="1:19" s="26" customFormat="1" ht="14.1" customHeight="1">
      <c r="A31" s="167"/>
      <c r="B31" s="226" t="s">
        <v>353</v>
      </c>
      <c r="C31" s="227"/>
      <c r="D31" s="227"/>
      <c r="E31" s="227"/>
      <c r="F31" s="227"/>
      <c r="G31" s="227"/>
      <c r="H31" s="228"/>
      <c r="I31" s="68">
        <f>SUM(I29:I30)</f>
        <v>304511</v>
      </c>
      <c r="J31" s="68"/>
      <c r="K31" s="165"/>
      <c r="L31" s="175"/>
      <c r="M31" s="175"/>
    </row>
    <row r="32" spans="1:19" s="54" customFormat="1" ht="14.1" customHeight="1">
      <c r="A32" s="148"/>
      <c r="B32" s="229" t="s">
        <v>351</v>
      </c>
      <c r="C32" s="230"/>
      <c r="D32" s="230"/>
      <c r="E32" s="230"/>
      <c r="F32" s="230"/>
      <c r="G32" s="230"/>
      <c r="H32" s="230"/>
      <c r="I32" s="230"/>
      <c r="J32" s="179"/>
      <c r="K32" s="148"/>
      <c r="L32" s="53"/>
      <c r="M32" s="53"/>
    </row>
    <row r="33" spans="1:19" s="26" customFormat="1" ht="14.1" customHeight="1">
      <c r="A33" s="167">
        <v>1</v>
      </c>
      <c r="B33" s="168" t="s">
        <v>392</v>
      </c>
      <c r="C33" s="168"/>
      <c r="D33" s="168"/>
      <c r="E33" s="168"/>
      <c r="F33" s="166"/>
      <c r="G33" s="166"/>
      <c r="H33" s="166"/>
      <c r="I33" s="166"/>
      <c r="J33" s="166"/>
      <c r="K33" s="147"/>
      <c r="L33" s="175"/>
      <c r="M33" s="175"/>
    </row>
    <row r="34" spans="1:19" s="26" customFormat="1" ht="14.1" customHeight="1">
      <c r="A34" s="167"/>
      <c r="B34" s="226" t="s">
        <v>353</v>
      </c>
      <c r="C34" s="227"/>
      <c r="D34" s="227"/>
      <c r="E34" s="227"/>
      <c r="F34" s="227"/>
      <c r="G34" s="227"/>
      <c r="H34" s="228"/>
      <c r="I34" s="71">
        <f>SUM(I33:I33)</f>
        <v>0</v>
      </c>
      <c r="J34" s="71"/>
      <c r="K34" s="167"/>
      <c r="L34" s="175"/>
      <c r="M34" s="175"/>
    </row>
    <row r="35" spans="1:19" s="54" customFormat="1">
      <c r="A35" s="148"/>
      <c r="B35" s="229" t="s">
        <v>213</v>
      </c>
      <c r="C35" s="230"/>
      <c r="D35" s="230"/>
      <c r="E35" s="230"/>
      <c r="F35" s="230"/>
      <c r="G35" s="230"/>
      <c r="H35" s="230"/>
      <c r="I35" s="235"/>
      <c r="J35" s="148"/>
      <c r="K35" s="64"/>
      <c r="L35" s="53"/>
      <c r="M35" s="53"/>
    </row>
    <row r="36" spans="1:19" s="26" customFormat="1" ht="13.15">
      <c r="A36" s="167">
        <v>1</v>
      </c>
      <c r="B36" s="165" t="s">
        <v>214</v>
      </c>
      <c r="C36" s="165"/>
      <c r="D36" s="165"/>
      <c r="E36" s="165"/>
      <c r="F36" s="166"/>
      <c r="G36" s="166"/>
      <c r="H36" s="166"/>
      <c r="I36" s="166"/>
      <c r="J36" s="72"/>
      <c r="K36" s="147"/>
      <c r="L36" s="175"/>
      <c r="M36" s="175"/>
    </row>
    <row r="37" spans="1:19" s="26" customFormat="1" ht="13.15">
      <c r="A37" s="167"/>
      <c r="B37" s="226" t="s">
        <v>353</v>
      </c>
      <c r="C37" s="227"/>
      <c r="D37" s="227"/>
      <c r="E37" s="227"/>
      <c r="F37" s="227"/>
      <c r="G37" s="227"/>
      <c r="H37" s="228"/>
      <c r="I37" s="68">
        <f>SUM(I36:I36)</f>
        <v>0</v>
      </c>
      <c r="J37" s="68"/>
      <c r="K37" s="167"/>
      <c r="L37" s="175"/>
      <c r="M37" s="175"/>
      <c r="N37" s="175"/>
      <c r="O37" s="175"/>
    </row>
    <row r="38" spans="1:19" s="54" customFormat="1" ht="14.1" customHeight="1">
      <c r="A38" s="148"/>
      <c r="B38" s="229" t="s">
        <v>270</v>
      </c>
      <c r="C38" s="230"/>
      <c r="D38" s="230"/>
      <c r="E38" s="230"/>
      <c r="F38" s="230"/>
      <c r="G38" s="230"/>
      <c r="H38" s="230"/>
      <c r="I38" s="230"/>
      <c r="J38" s="179"/>
      <c r="K38" s="181"/>
      <c r="L38" s="73"/>
      <c r="M38" s="53"/>
      <c r="N38" s="53"/>
      <c r="O38" s="53"/>
      <c r="P38" s="53"/>
      <c r="Q38" s="53"/>
      <c r="R38" s="53"/>
      <c r="S38" s="53"/>
    </row>
    <row r="39" spans="1:19" s="26" customFormat="1" ht="14.1" customHeight="1">
      <c r="A39" s="167">
        <v>1</v>
      </c>
      <c r="B39" s="168" t="s">
        <v>271</v>
      </c>
      <c r="C39" s="168" t="s">
        <v>248</v>
      </c>
      <c r="D39" s="168" t="s">
        <v>393</v>
      </c>
      <c r="E39" s="168" t="s">
        <v>394</v>
      </c>
      <c r="F39" s="166">
        <f t="shared" ref="F39:G39" si="9">H39/10.764</f>
        <v>2906.3545150501673</v>
      </c>
      <c r="G39" s="166">
        <f t="shared" si="9"/>
        <v>2906.3545150501673</v>
      </c>
      <c r="H39" s="166">
        <v>31284</v>
      </c>
      <c r="I39" s="166">
        <v>31284</v>
      </c>
      <c r="J39" s="74"/>
      <c r="K39" s="147" t="s">
        <v>29</v>
      </c>
      <c r="L39" s="75"/>
      <c r="M39" s="175"/>
      <c r="N39" s="175"/>
      <c r="O39" s="175"/>
      <c r="P39" s="175"/>
      <c r="Q39" s="175"/>
      <c r="R39" s="175"/>
      <c r="S39" s="175"/>
    </row>
    <row r="40" spans="1:19" s="26" customFormat="1" ht="14.1" customHeight="1">
      <c r="A40" s="167">
        <v>2</v>
      </c>
      <c r="B40" s="168" t="s">
        <v>271</v>
      </c>
      <c r="C40" s="192" t="s">
        <v>395</v>
      </c>
      <c r="D40" s="168" t="s">
        <v>293</v>
      </c>
      <c r="E40" s="168" t="s">
        <v>128</v>
      </c>
      <c r="F40" s="166">
        <f t="shared" ref="F40:G41" si="10">H40/10.764</f>
        <v>4274.6191007060579</v>
      </c>
      <c r="G40" s="166">
        <f t="shared" si="10"/>
        <v>4274.6191007060579</v>
      </c>
      <c r="H40" s="166">
        <v>46012</v>
      </c>
      <c r="I40" s="166">
        <v>46012</v>
      </c>
      <c r="J40" s="74"/>
      <c r="K40" s="147" t="s">
        <v>42</v>
      </c>
      <c r="L40" s="75"/>
      <c r="M40" s="175"/>
      <c r="N40" s="175"/>
      <c r="O40" s="175"/>
      <c r="P40" s="175"/>
      <c r="Q40" s="175"/>
      <c r="R40" s="175"/>
      <c r="S40" s="175"/>
    </row>
    <row r="41" spans="1:19" s="26" customFormat="1" ht="14.1" customHeight="1">
      <c r="A41" s="167">
        <v>3</v>
      </c>
      <c r="B41" s="168" t="s">
        <v>271</v>
      </c>
      <c r="C41" s="192" t="s">
        <v>307</v>
      </c>
      <c r="D41" s="168" t="s">
        <v>396</v>
      </c>
      <c r="E41" s="168" t="s">
        <v>306</v>
      </c>
      <c r="F41" s="166">
        <f t="shared" si="10"/>
        <v>18713.768115942032</v>
      </c>
      <c r="G41" s="166">
        <f t="shared" si="10"/>
        <v>18713.768115942032</v>
      </c>
      <c r="H41" s="166">
        <v>201435</v>
      </c>
      <c r="I41" s="166">
        <v>201435</v>
      </c>
      <c r="J41" s="74"/>
      <c r="K41" s="147" t="s">
        <v>29</v>
      </c>
      <c r="L41" s="75"/>
      <c r="M41" s="175"/>
      <c r="N41" s="175"/>
      <c r="O41" s="175"/>
      <c r="P41" s="175"/>
      <c r="Q41" s="175"/>
      <c r="R41" s="175"/>
      <c r="S41" s="175"/>
    </row>
    <row r="42" spans="1:19" s="26" customFormat="1" ht="14.1" customHeight="1">
      <c r="A42" s="167"/>
      <c r="B42" s="226" t="s">
        <v>353</v>
      </c>
      <c r="C42" s="227"/>
      <c r="D42" s="227"/>
      <c r="E42" s="227"/>
      <c r="F42" s="227"/>
      <c r="G42" s="227"/>
      <c r="H42" s="228"/>
      <c r="I42" s="68">
        <f>SUM(I39:I41)</f>
        <v>278731</v>
      </c>
      <c r="J42" s="68"/>
      <c r="K42" s="167"/>
      <c r="L42" s="175"/>
      <c r="M42" s="175"/>
      <c r="N42" s="175"/>
      <c r="O42" s="175"/>
      <c r="P42" s="175"/>
      <c r="Q42" s="175"/>
      <c r="R42" s="175"/>
      <c r="S42" s="175"/>
    </row>
    <row r="43" spans="1:19" s="54" customFormat="1" ht="14.1" customHeight="1">
      <c r="A43" s="148"/>
      <c r="B43" s="229" t="s">
        <v>321</v>
      </c>
      <c r="C43" s="230"/>
      <c r="D43" s="230"/>
      <c r="E43" s="230"/>
      <c r="F43" s="230"/>
      <c r="G43" s="230"/>
      <c r="H43" s="230"/>
      <c r="I43" s="230"/>
      <c r="J43" s="179"/>
      <c r="K43" s="70"/>
      <c r="L43" s="53"/>
      <c r="M43" s="53"/>
      <c r="N43" s="53"/>
      <c r="O43" s="53"/>
      <c r="P43" s="53"/>
      <c r="Q43" s="53"/>
      <c r="R43" s="53"/>
      <c r="S43" s="53"/>
    </row>
    <row r="44" spans="1:19" s="26" customFormat="1" ht="13.15">
      <c r="A44" s="167">
        <v>1</v>
      </c>
      <c r="B44" s="168" t="s">
        <v>322</v>
      </c>
      <c r="C44" s="165" t="s">
        <v>397</v>
      </c>
      <c r="D44" s="165" t="s">
        <v>398</v>
      </c>
      <c r="E44" s="165" t="s">
        <v>399</v>
      </c>
      <c r="F44" s="166">
        <f>H44/10.764</f>
        <v>9000</v>
      </c>
      <c r="G44" s="166">
        <f>I44/10.764</f>
        <v>9000</v>
      </c>
      <c r="H44" s="166">
        <v>96876</v>
      </c>
      <c r="I44" s="166">
        <v>96876</v>
      </c>
      <c r="J44" s="166"/>
      <c r="K44" s="147" t="s">
        <v>29</v>
      </c>
      <c r="L44" s="23"/>
      <c r="M44" s="23"/>
      <c r="N44" s="23"/>
      <c r="O44" s="23"/>
      <c r="P44" s="175"/>
      <c r="Q44" s="175"/>
      <c r="R44" s="175"/>
      <c r="S44" s="175"/>
    </row>
    <row r="45" spans="1:19" s="26" customFormat="1" ht="14.1" customHeight="1">
      <c r="A45" s="167">
        <v>2</v>
      </c>
      <c r="B45" s="168" t="s">
        <v>322</v>
      </c>
      <c r="C45" s="168" t="s">
        <v>123</v>
      </c>
      <c r="D45" s="168" t="s">
        <v>400</v>
      </c>
      <c r="E45" s="168" t="s">
        <v>401</v>
      </c>
      <c r="F45" s="166">
        <f t="shared" ref="F45:G45" si="11">H45/10.764</f>
        <v>4000.0000000000005</v>
      </c>
      <c r="G45" s="166">
        <f t="shared" si="11"/>
        <v>1000.0000000000001</v>
      </c>
      <c r="H45" s="166">
        <v>43056</v>
      </c>
      <c r="I45" s="166">
        <v>10764</v>
      </c>
      <c r="J45" s="166"/>
      <c r="K45" s="147" t="s">
        <v>42</v>
      </c>
      <c r="L45" s="23"/>
      <c r="M45" s="23"/>
      <c r="N45" s="23"/>
      <c r="O45" s="23"/>
    </row>
    <row r="46" spans="1:19" s="26" customFormat="1" ht="14.1" customHeight="1">
      <c r="A46" s="167">
        <v>3</v>
      </c>
      <c r="B46" s="168" t="s">
        <v>322</v>
      </c>
      <c r="C46" s="168" t="s">
        <v>402</v>
      </c>
      <c r="D46" s="168" t="s">
        <v>403</v>
      </c>
      <c r="E46" s="168" t="s">
        <v>317</v>
      </c>
      <c r="F46" s="166">
        <f>H46/10.764</f>
        <v>9799.8885172798218</v>
      </c>
      <c r="G46" s="166">
        <f>I46/10.764</f>
        <v>4200.018580453363</v>
      </c>
      <c r="H46" s="166">
        <v>105486</v>
      </c>
      <c r="I46" s="166">
        <v>45209</v>
      </c>
      <c r="J46" s="166"/>
      <c r="K46" s="147" t="s">
        <v>29</v>
      </c>
      <c r="L46" s="23"/>
      <c r="M46" s="23"/>
      <c r="N46" s="23"/>
      <c r="O46" s="23"/>
    </row>
    <row r="47" spans="1:19" s="54" customFormat="1" ht="14.1" customHeight="1">
      <c r="A47" s="167"/>
      <c r="B47" s="226" t="s">
        <v>353</v>
      </c>
      <c r="C47" s="227"/>
      <c r="D47" s="227"/>
      <c r="E47" s="227"/>
      <c r="F47" s="227"/>
      <c r="G47" s="227"/>
      <c r="H47" s="228"/>
      <c r="I47" s="71">
        <f>SUM(I44:I46)</f>
        <v>152849</v>
      </c>
      <c r="J47" s="71"/>
      <c r="K47" s="76"/>
      <c r="L47" s="53"/>
      <c r="M47" s="53"/>
      <c r="N47" s="53"/>
      <c r="O47" s="53"/>
      <c r="P47" s="53"/>
      <c r="Q47" s="53"/>
      <c r="R47" s="53"/>
      <c r="S47" s="53"/>
    </row>
    <row r="48" spans="1:19" s="26" customFormat="1" ht="13.15">
      <c r="A48" s="148"/>
      <c r="B48" s="229" t="s">
        <v>313</v>
      </c>
      <c r="C48" s="230"/>
      <c r="D48" s="230"/>
      <c r="E48" s="230"/>
      <c r="F48" s="230"/>
      <c r="G48" s="230"/>
      <c r="H48" s="230"/>
      <c r="I48" s="230"/>
      <c r="J48" s="179"/>
      <c r="K48" s="70"/>
      <c r="L48" s="23"/>
      <c r="M48" s="23"/>
      <c r="N48" s="23"/>
      <c r="O48" s="23"/>
      <c r="P48" s="175"/>
      <c r="Q48" s="175"/>
      <c r="R48" s="175"/>
      <c r="S48" s="175"/>
    </row>
    <row r="49" spans="1:19" s="26" customFormat="1" ht="14.1" customHeight="1">
      <c r="A49" s="167">
        <v>1</v>
      </c>
      <c r="B49" s="191" t="s">
        <v>404</v>
      </c>
      <c r="C49" s="171"/>
      <c r="D49" s="171"/>
      <c r="E49" s="171"/>
      <c r="F49" s="166"/>
      <c r="G49" s="166"/>
      <c r="H49" s="166"/>
      <c r="I49" s="166"/>
      <c r="J49" s="166"/>
      <c r="K49" s="147"/>
      <c r="L49" s="75"/>
      <c r="M49" s="175"/>
      <c r="N49" s="175"/>
      <c r="O49" s="175"/>
      <c r="P49" s="175"/>
      <c r="Q49" s="175"/>
      <c r="R49" s="175"/>
      <c r="S49" s="175"/>
    </row>
    <row r="50" spans="1:19" s="54" customFormat="1" ht="14.1" customHeight="1">
      <c r="A50" s="167"/>
      <c r="B50" s="226" t="s">
        <v>353</v>
      </c>
      <c r="C50" s="227"/>
      <c r="D50" s="227"/>
      <c r="E50" s="227"/>
      <c r="F50" s="227"/>
      <c r="G50" s="227"/>
      <c r="H50" s="228"/>
      <c r="I50" s="71">
        <f>SUM(I49:I49)</f>
        <v>0</v>
      </c>
      <c r="J50" s="71"/>
      <c r="K50" s="76"/>
      <c r="L50" s="73"/>
      <c r="M50" s="53"/>
      <c r="N50" s="53"/>
      <c r="O50" s="53"/>
      <c r="P50" s="53"/>
      <c r="Q50" s="53"/>
      <c r="R50" s="53"/>
      <c r="S50" s="53"/>
    </row>
    <row r="51" spans="1:19" ht="14.65">
      <c r="A51" s="77"/>
      <c r="B51" s="233" t="s">
        <v>353</v>
      </c>
      <c r="C51" s="234"/>
      <c r="D51" s="234"/>
      <c r="E51" s="234"/>
      <c r="F51" s="234"/>
      <c r="G51" s="234"/>
      <c r="H51" s="234"/>
      <c r="I51" s="78">
        <f>I18+I24+I27+I31+I34+I37+I42+I47+I50</f>
        <v>1728001</v>
      </c>
      <c r="J51" s="79"/>
      <c r="K51" s="80"/>
    </row>
    <row r="54" spans="1:19">
      <c r="F54" s="81"/>
    </row>
  </sheetData>
  <autoFilter ref="A4:K51" xr:uid="{DFB0C4B3-5270-44E0-AB2A-4AB85ABC7801}"/>
  <mergeCells count="21">
    <mergeCell ref="B47:H47"/>
    <mergeCell ref="B48:I48"/>
    <mergeCell ref="B50:H50"/>
    <mergeCell ref="B51:H51"/>
    <mergeCell ref="B27:H27"/>
    <mergeCell ref="B28:I28"/>
    <mergeCell ref="B31:H31"/>
    <mergeCell ref="B32:I32"/>
    <mergeCell ref="B34:H34"/>
    <mergeCell ref="B35:I35"/>
    <mergeCell ref="B37:H37"/>
    <mergeCell ref="B38:I38"/>
    <mergeCell ref="B42:H42"/>
    <mergeCell ref="B43:I43"/>
    <mergeCell ref="B24:H24"/>
    <mergeCell ref="B25:I25"/>
    <mergeCell ref="A1:K1"/>
    <mergeCell ref="A2:K2"/>
    <mergeCell ref="B5:I5"/>
    <mergeCell ref="B18:H18"/>
    <mergeCell ref="B19:I19"/>
  </mergeCells>
  <pageMargins left="0.70866141732283472" right="0.70866141732283472" top="0.74803149606299213" bottom="0.74803149606299213" header="0.31496062992125984" footer="0.31496062992125984"/>
  <pageSetup paperSize="17" scale="8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B1F1-AB2D-4BAF-A100-22805A4BEB38}">
  <sheetPr codeName="Hoja3"/>
  <dimension ref="A1:K51"/>
  <sheetViews>
    <sheetView zoomScaleNormal="100" workbookViewId="0">
      <selection activeCell="E14" sqref="E14"/>
    </sheetView>
  </sheetViews>
  <sheetFormatPr defaultColWidth="11.42578125" defaultRowHeight="14.25"/>
  <cols>
    <col min="1" max="1" width="2.7109375" customWidth="1"/>
    <col min="2" max="2" width="17.42578125" customWidth="1"/>
    <col min="3" max="3" width="20.42578125" customWidth="1"/>
    <col min="4" max="4" width="37" customWidth="1"/>
    <col min="5" max="5" width="22.42578125" customWidth="1"/>
    <col min="7" max="7" width="13.7109375" customWidth="1"/>
    <col min="8" max="8" width="26.140625" customWidth="1"/>
    <col min="9" max="9" width="12.5703125" customWidth="1"/>
  </cols>
  <sheetData>
    <row r="1" spans="1:9" s="54" customFormat="1" ht="21.75">
      <c r="A1" s="82"/>
      <c r="B1" s="241" t="s">
        <v>0</v>
      </c>
      <c r="C1" s="241"/>
      <c r="D1" s="241"/>
      <c r="E1" s="241"/>
      <c r="F1" s="241"/>
      <c r="G1" s="241"/>
      <c r="H1" s="241"/>
      <c r="I1" s="241"/>
    </row>
    <row r="2" spans="1:9" s="54" customFormat="1" ht="14.65">
      <c r="A2" s="56"/>
      <c r="B2" s="242" t="s">
        <v>405</v>
      </c>
      <c r="C2" s="242"/>
      <c r="D2" s="242"/>
      <c r="E2" s="242"/>
      <c r="F2" s="242"/>
      <c r="G2" s="242"/>
      <c r="H2" s="242"/>
      <c r="I2" s="242"/>
    </row>
    <row r="3" spans="1:9" s="56" customFormat="1" ht="15" customHeight="1"/>
    <row r="4" spans="1:9" s="54" customFormat="1">
      <c r="A4" s="83"/>
      <c r="B4" s="61" t="s">
        <v>2</v>
      </c>
      <c r="C4" s="61" t="s">
        <v>355</v>
      </c>
      <c r="D4" s="61" t="s">
        <v>356</v>
      </c>
      <c r="E4" s="61" t="s">
        <v>5</v>
      </c>
      <c r="F4" s="61" t="s">
        <v>6</v>
      </c>
      <c r="G4" s="61" t="s">
        <v>7</v>
      </c>
      <c r="H4" s="61" t="s">
        <v>13</v>
      </c>
      <c r="I4" s="62" t="s">
        <v>406</v>
      </c>
    </row>
    <row r="5" spans="1:9" s="54" customFormat="1" ht="18" customHeight="1">
      <c r="A5" s="148"/>
      <c r="B5" s="236" t="s">
        <v>17</v>
      </c>
      <c r="C5" s="236"/>
      <c r="D5" s="236"/>
      <c r="E5" s="236"/>
      <c r="F5" s="236"/>
      <c r="G5" s="236"/>
      <c r="H5" s="236"/>
      <c r="I5" s="236"/>
    </row>
    <row r="6" spans="1:9" s="54" customFormat="1">
      <c r="A6" s="167">
        <v>1</v>
      </c>
      <c r="B6" s="168" t="s">
        <v>18</v>
      </c>
      <c r="C6" s="168" t="s">
        <v>407</v>
      </c>
      <c r="D6" s="168" t="s">
        <v>20</v>
      </c>
      <c r="E6" s="167" t="s">
        <v>21</v>
      </c>
      <c r="F6" s="166">
        <f>G6/10.764</f>
        <v>11108.324043106653</v>
      </c>
      <c r="G6" s="166">
        <v>119570</v>
      </c>
      <c r="H6" s="152"/>
      <c r="I6" s="149" t="s">
        <v>408</v>
      </c>
    </row>
    <row r="7" spans="1:9" s="54" customFormat="1">
      <c r="A7" s="167">
        <v>2</v>
      </c>
      <c r="B7" s="168" t="s">
        <v>18</v>
      </c>
      <c r="C7" s="168" t="s">
        <v>409</v>
      </c>
      <c r="D7" s="168" t="s">
        <v>20</v>
      </c>
      <c r="E7" s="167" t="s">
        <v>21</v>
      </c>
      <c r="F7" s="166">
        <f>G7/10.764</f>
        <v>20066.889632107024</v>
      </c>
      <c r="G7" s="166">
        <v>216000</v>
      </c>
      <c r="H7" s="152"/>
      <c r="I7" s="149" t="s">
        <v>410</v>
      </c>
    </row>
    <row r="8" spans="1:9" s="54" customFormat="1">
      <c r="A8" s="167">
        <v>3</v>
      </c>
      <c r="B8" s="168" t="s">
        <v>18</v>
      </c>
      <c r="C8" s="168" t="s">
        <v>411</v>
      </c>
      <c r="D8" s="168" t="s">
        <v>56</v>
      </c>
      <c r="E8" s="167" t="s">
        <v>45</v>
      </c>
      <c r="F8" s="166">
        <f>G8/10.764</f>
        <v>13935.340022296545</v>
      </c>
      <c r="G8" s="166">
        <v>150000</v>
      </c>
      <c r="H8" s="152"/>
      <c r="I8" s="149" t="s">
        <v>408</v>
      </c>
    </row>
    <row r="9" spans="1:9" s="54" customFormat="1">
      <c r="A9" s="167">
        <v>4</v>
      </c>
      <c r="B9" s="168" t="s">
        <v>18</v>
      </c>
      <c r="C9" s="168" t="s">
        <v>412</v>
      </c>
      <c r="D9" s="168" t="s">
        <v>60</v>
      </c>
      <c r="E9" s="167" t="s">
        <v>61</v>
      </c>
      <c r="F9" s="166">
        <v>14000</v>
      </c>
      <c r="G9" s="166">
        <v>150696</v>
      </c>
      <c r="H9" s="152"/>
      <c r="I9" s="149" t="s">
        <v>408</v>
      </c>
    </row>
    <row r="10" spans="1:9" s="54" customFormat="1">
      <c r="A10" s="167">
        <v>5</v>
      </c>
      <c r="B10" s="168" t="s">
        <v>18</v>
      </c>
      <c r="C10" s="168" t="s">
        <v>413</v>
      </c>
      <c r="D10" s="168" t="s">
        <v>94</v>
      </c>
      <c r="E10" s="167" t="s">
        <v>86</v>
      </c>
      <c r="F10" s="166">
        <f t="shared" ref="F10:F11" si="0">G10/10.764</f>
        <v>19564.752879970274</v>
      </c>
      <c r="G10" s="166">
        <v>210595</v>
      </c>
      <c r="H10" s="152"/>
      <c r="I10" s="149" t="s">
        <v>414</v>
      </c>
    </row>
    <row r="11" spans="1:9" s="54" customFormat="1">
      <c r="A11" s="167">
        <v>6</v>
      </c>
      <c r="B11" s="168" t="s">
        <v>18</v>
      </c>
      <c r="C11" s="168" t="s">
        <v>415</v>
      </c>
      <c r="D11" s="168" t="s">
        <v>108</v>
      </c>
      <c r="E11" s="167" t="s">
        <v>139</v>
      </c>
      <c r="F11" s="166">
        <f t="shared" si="0"/>
        <v>13622.630992196211</v>
      </c>
      <c r="G11" s="166">
        <v>146634</v>
      </c>
      <c r="H11" s="152"/>
      <c r="I11" s="149" t="s">
        <v>414</v>
      </c>
    </row>
    <row r="12" spans="1:9" s="26" customFormat="1" ht="13.15">
      <c r="A12" s="167">
        <v>7</v>
      </c>
      <c r="B12" s="168" t="s">
        <v>18</v>
      </c>
      <c r="C12" s="168" t="s">
        <v>416</v>
      </c>
      <c r="D12" s="168" t="s">
        <v>156</v>
      </c>
      <c r="E12" s="167" t="s">
        <v>153</v>
      </c>
      <c r="F12" s="166">
        <f t="shared" ref="F12:F16" si="1">G12/10.764</f>
        <v>6586.0274990709777</v>
      </c>
      <c r="G12" s="166">
        <v>70892</v>
      </c>
      <c r="H12" s="193"/>
      <c r="I12" s="216" t="s">
        <v>414</v>
      </c>
    </row>
    <row r="13" spans="1:9" s="26" customFormat="1" ht="13.15">
      <c r="A13" s="167">
        <v>8</v>
      </c>
      <c r="B13" s="168" t="s">
        <v>18</v>
      </c>
      <c r="C13" s="168" t="s">
        <v>417</v>
      </c>
      <c r="D13" s="168" t="s">
        <v>156</v>
      </c>
      <c r="E13" s="167" t="s">
        <v>153</v>
      </c>
      <c r="F13" s="166">
        <f t="shared" si="1"/>
        <v>6586.0274990709777</v>
      </c>
      <c r="G13" s="166">
        <v>70892</v>
      </c>
      <c r="H13" s="193"/>
      <c r="I13" s="216" t="s">
        <v>414</v>
      </c>
    </row>
    <row r="14" spans="1:9" s="26" customFormat="1" ht="13.15">
      <c r="A14" s="167">
        <v>9</v>
      </c>
      <c r="B14" s="168" t="s">
        <v>18</v>
      </c>
      <c r="C14" s="168" t="s">
        <v>418</v>
      </c>
      <c r="D14" s="168" t="s">
        <v>152</v>
      </c>
      <c r="E14" s="167" t="s">
        <v>153</v>
      </c>
      <c r="F14" s="166">
        <f t="shared" si="1"/>
        <v>10849.962839093274</v>
      </c>
      <c r="G14" s="166">
        <v>116789</v>
      </c>
      <c r="H14" s="193"/>
      <c r="I14" s="216" t="s">
        <v>419</v>
      </c>
    </row>
    <row r="15" spans="1:9" s="26" customFormat="1" ht="13.15">
      <c r="A15" s="167">
        <v>10</v>
      </c>
      <c r="B15" s="168" t="s">
        <v>18</v>
      </c>
      <c r="C15" s="168" t="s">
        <v>420</v>
      </c>
      <c r="D15" s="168" t="s">
        <v>421</v>
      </c>
      <c r="E15" s="167" t="s">
        <v>163</v>
      </c>
      <c r="F15" s="166">
        <f t="shared" si="1"/>
        <v>23864.176885916018</v>
      </c>
      <c r="G15" s="166">
        <v>256874</v>
      </c>
      <c r="H15" s="193"/>
      <c r="I15" s="216" t="s">
        <v>408</v>
      </c>
    </row>
    <row r="16" spans="1:9" s="26" customFormat="1" ht="13.15">
      <c r="A16" s="167">
        <v>11</v>
      </c>
      <c r="B16" s="168" t="s">
        <v>18</v>
      </c>
      <c r="C16" s="168" t="s">
        <v>422</v>
      </c>
      <c r="D16" s="168" t="s">
        <v>423</v>
      </c>
      <c r="E16" s="167" t="s">
        <v>306</v>
      </c>
      <c r="F16" s="166">
        <f t="shared" si="1"/>
        <v>27630.80639167596</v>
      </c>
      <c r="G16" s="166">
        <v>297418</v>
      </c>
      <c r="H16" s="193"/>
      <c r="I16" s="216" t="s">
        <v>419</v>
      </c>
    </row>
    <row r="17" spans="1:9" s="26" customFormat="1" ht="13.15">
      <c r="A17" s="167">
        <v>12</v>
      </c>
      <c r="B17" s="168" t="s">
        <v>18</v>
      </c>
      <c r="C17" s="168" t="s">
        <v>424</v>
      </c>
      <c r="D17" s="168" t="s">
        <v>182</v>
      </c>
      <c r="E17" s="167" t="s">
        <v>183</v>
      </c>
      <c r="F17" s="42">
        <f>G17/10.764</f>
        <v>6695.7450761798591</v>
      </c>
      <c r="G17" s="166">
        <v>72073</v>
      </c>
      <c r="H17" s="193"/>
      <c r="I17" s="196" t="s">
        <v>414</v>
      </c>
    </row>
    <row r="18" spans="1:9" s="26" customFormat="1" ht="14.25" customHeight="1">
      <c r="A18" s="162"/>
      <c r="B18" s="243" t="s">
        <v>353</v>
      </c>
      <c r="C18" s="244"/>
      <c r="D18" s="244"/>
      <c r="E18" s="245"/>
      <c r="F18" s="84">
        <f>SUM(F6:F17)</f>
        <v>174510.68376068375</v>
      </c>
      <c r="G18" s="85">
        <f>SUM(G6:G17)</f>
        <v>1878433</v>
      </c>
      <c r="H18" s="86"/>
      <c r="I18" s="87"/>
    </row>
    <row r="19" spans="1:9" s="54" customFormat="1" ht="18" customHeight="1">
      <c r="A19" s="148"/>
      <c r="B19" s="236" t="s">
        <v>321</v>
      </c>
      <c r="C19" s="236"/>
      <c r="D19" s="236"/>
      <c r="E19" s="236"/>
      <c r="F19" s="236"/>
      <c r="G19" s="236"/>
      <c r="H19" s="236"/>
      <c r="I19" s="236"/>
    </row>
    <row r="20" spans="1:9" s="26" customFormat="1" ht="13.15">
      <c r="A20" s="167">
        <v>1</v>
      </c>
      <c r="B20" s="168" t="s">
        <v>322</v>
      </c>
      <c r="C20" s="168" t="s">
        <v>425</v>
      </c>
      <c r="D20" s="168" t="s">
        <v>426</v>
      </c>
      <c r="E20" s="167" t="s">
        <v>281</v>
      </c>
      <c r="F20" s="153">
        <f>G20/10.764</f>
        <v>21785.767372723894</v>
      </c>
      <c r="G20" s="153">
        <v>234502</v>
      </c>
      <c r="H20" s="152"/>
      <c r="I20" s="149" t="s">
        <v>419</v>
      </c>
    </row>
    <row r="21" spans="1:9" s="26" customFormat="1" ht="13.15">
      <c r="A21" s="167">
        <v>2</v>
      </c>
      <c r="B21" s="168" t="s">
        <v>322</v>
      </c>
      <c r="C21" s="168" t="s">
        <v>427</v>
      </c>
      <c r="D21" s="168" t="s">
        <v>403</v>
      </c>
      <c r="E21" s="167" t="s">
        <v>317</v>
      </c>
      <c r="F21" s="153">
        <f>G21/10.764</f>
        <v>15123.745819397995</v>
      </c>
      <c r="G21" s="153">
        <v>162792</v>
      </c>
      <c r="H21" s="152"/>
      <c r="I21" s="149" t="s">
        <v>414</v>
      </c>
    </row>
    <row r="22" spans="1:9" s="26" customFormat="1" ht="13.15">
      <c r="A22" s="167">
        <v>3</v>
      </c>
      <c r="B22" s="168" t="s">
        <v>322</v>
      </c>
      <c r="C22" s="168" t="s">
        <v>428</v>
      </c>
      <c r="D22" s="168" t="s">
        <v>340</v>
      </c>
      <c r="E22" s="167" t="s">
        <v>163</v>
      </c>
      <c r="F22" s="153">
        <f>G22/10.764</f>
        <v>11826.27276105537</v>
      </c>
      <c r="G22" s="153">
        <v>127298</v>
      </c>
      <c r="H22" s="152"/>
      <c r="I22" s="149" t="s">
        <v>408</v>
      </c>
    </row>
    <row r="23" spans="1:9" s="89" customFormat="1" ht="13.15">
      <c r="A23" s="43"/>
      <c r="B23" s="243" t="s">
        <v>353</v>
      </c>
      <c r="C23" s="244"/>
      <c r="D23" s="244"/>
      <c r="E23" s="245"/>
      <c r="F23" s="84">
        <f>SUM(F20:F22)</f>
        <v>48735.785953177256</v>
      </c>
      <c r="G23" s="85">
        <f>SUM(G20:G22)</f>
        <v>524592</v>
      </c>
      <c r="H23" s="85"/>
      <c r="I23" s="87"/>
    </row>
    <row r="24" spans="1:9" s="54" customFormat="1" ht="18" customHeight="1">
      <c r="A24" s="148"/>
      <c r="B24" s="236" t="s">
        <v>196</v>
      </c>
      <c r="C24" s="236"/>
      <c r="D24" s="236"/>
      <c r="E24" s="236"/>
      <c r="F24" s="236"/>
      <c r="G24" s="236"/>
      <c r="H24" s="236"/>
      <c r="I24" s="236"/>
    </row>
    <row r="25" spans="1:9" s="54" customFormat="1">
      <c r="A25" s="167">
        <v>1</v>
      </c>
      <c r="B25" s="168" t="s">
        <v>429</v>
      </c>
      <c r="C25" s="168" t="s">
        <v>430</v>
      </c>
      <c r="D25" s="168" t="s">
        <v>431</v>
      </c>
      <c r="E25" s="167" t="s">
        <v>74</v>
      </c>
      <c r="F25" s="195">
        <f>G25/10.764</f>
        <v>25470.457079152733</v>
      </c>
      <c r="G25" s="166">
        <v>274164</v>
      </c>
      <c r="H25" s="166"/>
      <c r="I25" s="149" t="s">
        <v>414</v>
      </c>
    </row>
    <row r="26" spans="1:9" s="54" customFormat="1">
      <c r="A26" s="167">
        <v>2</v>
      </c>
      <c r="B26" s="168" t="s">
        <v>197</v>
      </c>
      <c r="C26" s="168" t="s">
        <v>432</v>
      </c>
      <c r="D26" s="168" t="s">
        <v>391</v>
      </c>
      <c r="E26" s="167" t="s">
        <v>206</v>
      </c>
      <c r="F26" s="195">
        <f>G26/10.764</f>
        <v>31651.616499442589</v>
      </c>
      <c r="G26" s="166">
        <v>340698</v>
      </c>
      <c r="H26" s="166"/>
      <c r="I26" s="149" t="s">
        <v>408</v>
      </c>
    </row>
    <row r="27" spans="1:9" s="26" customFormat="1" ht="13.15">
      <c r="A27" s="167"/>
      <c r="B27" s="237" t="s">
        <v>353</v>
      </c>
      <c r="C27" s="237"/>
      <c r="D27" s="237"/>
      <c r="E27" s="237"/>
      <c r="F27" s="84">
        <f>SUM(F25:F26)</f>
        <v>57122.073578595322</v>
      </c>
      <c r="G27" s="68">
        <f>SUM(G25:G26)</f>
        <v>614862</v>
      </c>
      <c r="H27" s="68"/>
      <c r="I27" s="90"/>
    </row>
    <row r="28" spans="1:9" s="54" customFormat="1" ht="18" customHeight="1">
      <c r="A28" s="148"/>
      <c r="B28" s="236" t="s">
        <v>351</v>
      </c>
      <c r="C28" s="236"/>
      <c r="D28" s="236"/>
      <c r="E28" s="236"/>
      <c r="F28" s="236"/>
      <c r="G28" s="236"/>
      <c r="H28" s="236"/>
      <c r="I28" s="236"/>
    </row>
    <row r="29" spans="1:9" s="26" customFormat="1" ht="13.15">
      <c r="A29" s="167"/>
      <c r="B29" s="168"/>
      <c r="C29" s="168"/>
      <c r="D29" s="168"/>
      <c r="E29" s="167"/>
      <c r="F29" s="166"/>
      <c r="G29" s="166"/>
      <c r="H29" s="166"/>
      <c r="I29" s="90"/>
    </row>
    <row r="30" spans="1:9" s="26" customFormat="1" ht="13.15">
      <c r="A30" s="167"/>
      <c r="B30" s="246" t="s">
        <v>353</v>
      </c>
      <c r="C30" s="247"/>
      <c r="D30" s="247"/>
      <c r="E30" s="248"/>
      <c r="F30" s="91">
        <f>SUM(F29:F29)</f>
        <v>0</v>
      </c>
      <c r="G30" s="91">
        <f>SUM(G29:G29)</f>
        <v>0</v>
      </c>
      <c r="H30" s="91"/>
      <c r="I30" s="90"/>
    </row>
    <row r="31" spans="1:9" s="54" customFormat="1" ht="18" customHeight="1">
      <c r="A31" s="148"/>
      <c r="B31" s="236" t="s">
        <v>313</v>
      </c>
      <c r="C31" s="249"/>
      <c r="D31" s="236"/>
      <c r="E31" s="236"/>
      <c r="F31" s="236"/>
      <c r="G31" s="236"/>
      <c r="H31" s="236"/>
      <c r="I31" s="236"/>
    </row>
    <row r="32" spans="1:9" s="26" customFormat="1" ht="12.75" customHeight="1">
      <c r="A32" s="167">
        <v>1</v>
      </c>
      <c r="B32" s="92"/>
      <c r="C32" s="93"/>
      <c r="D32" s="94"/>
      <c r="E32" s="95"/>
      <c r="F32" s="96"/>
      <c r="G32" s="97"/>
      <c r="H32" s="97"/>
      <c r="I32" s="98"/>
    </row>
    <row r="33" spans="1:11" s="26" customFormat="1" ht="13.15">
      <c r="A33" s="167"/>
      <c r="B33" s="238" t="s">
        <v>353</v>
      </c>
      <c r="C33" s="239"/>
      <c r="D33" s="239"/>
      <c r="E33" s="240"/>
      <c r="F33" s="99">
        <f>SUM(F32:F32)</f>
        <v>0</v>
      </c>
      <c r="G33" s="91">
        <f>SUM(G32:G32)</f>
        <v>0</v>
      </c>
      <c r="H33" s="91"/>
      <c r="I33" s="90"/>
    </row>
    <row r="34" spans="1:11" s="54" customFormat="1" ht="18" customHeight="1">
      <c r="A34" s="148"/>
      <c r="B34" s="236" t="s">
        <v>213</v>
      </c>
      <c r="C34" s="236"/>
      <c r="D34" s="236"/>
      <c r="E34" s="236"/>
      <c r="F34" s="236"/>
      <c r="G34" s="236"/>
      <c r="H34" s="236"/>
      <c r="I34" s="236"/>
    </row>
    <row r="35" spans="1:11" s="26" customFormat="1" ht="13.15">
      <c r="A35" s="167">
        <v>1</v>
      </c>
      <c r="B35" s="168"/>
      <c r="C35" s="168"/>
      <c r="D35" s="168"/>
      <c r="E35" s="167"/>
      <c r="F35" s="166"/>
      <c r="G35" s="153"/>
      <c r="H35" s="153"/>
      <c r="I35" s="149"/>
    </row>
    <row r="36" spans="1:11" s="26" customFormat="1" ht="13.15">
      <c r="A36" s="167"/>
      <c r="B36" s="237" t="s">
        <v>353</v>
      </c>
      <c r="C36" s="237"/>
      <c r="D36" s="237"/>
      <c r="E36" s="237"/>
      <c r="F36" s="91">
        <f>SUM(F35:F35)</f>
        <v>0</v>
      </c>
      <c r="G36" s="68">
        <f>SUM(G35:G35)</f>
        <v>0</v>
      </c>
      <c r="H36" s="68"/>
      <c r="I36" s="90"/>
    </row>
    <row r="37" spans="1:11" s="54" customFormat="1" ht="18" customHeight="1">
      <c r="A37" s="148"/>
      <c r="B37" s="236" t="s">
        <v>225</v>
      </c>
      <c r="C37" s="236"/>
      <c r="D37" s="236"/>
      <c r="E37" s="236"/>
      <c r="F37" s="236"/>
      <c r="G37" s="236"/>
      <c r="H37" s="236"/>
      <c r="I37" s="236"/>
    </row>
    <row r="38" spans="1:11" s="54" customFormat="1">
      <c r="A38" s="167"/>
      <c r="B38" s="168"/>
      <c r="C38" s="168"/>
      <c r="D38" s="168"/>
      <c r="E38" s="167"/>
      <c r="F38" s="166"/>
      <c r="G38" s="166"/>
      <c r="H38" s="100"/>
      <c r="I38" s="98"/>
    </row>
    <row r="39" spans="1:11" s="26" customFormat="1" ht="13.15">
      <c r="A39" s="167"/>
      <c r="B39" s="237" t="s">
        <v>353</v>
      </c>
      <c r="C39" s="237"/>
      <c r="D39" s="237"/>
      <c r="E39" s="237"/>
      <c r="F39" s="68">
        <f>SUM(F38:F38)</f>
        <v>0</v>
      </c>
      <c r="G39" s="68">
        <f>SUM(G38:G38)</f>
        <v>0</v>
      </c>
      <c r="H39" s="68"/>
      <c r="I39" s="90"/>
    </row>
    <row r="40" spans="1:11" s="54" customFormat="1" ht="18" customHeight="1">
      <c r="A40" s="148"/>
      <c r="B40" s="236" t="s">
        <v>270</v>
      </c>
      <c r="C40" s="236"/>
      <c r="D40" s="236"/>
      <c r="E40" s="236"/>
      <c r="F40" s="236"/>
      <c r="G40" s="236"/>
      <c r="H40" s="236"/>
      <c r="I40" s="236"/>
    </row>
    <row r="41" spans="1:11" s="26" customFormat="1" ht="13.15">
      <c r="A41" s="167">
        <v>1</v>
      </c>
      <c r="B41" s="168" t="s">
        <v>271</v>
      </c>
      <c r="C41" s="168" t="s">
        <v>433</v>
      </c>
      <c r="D41" s="168" t="s">
        <v>273</v>
      </c>
      <c r="E41" s="166" t="s">
        <v>274</v>
      </c>
      <c r="F41" s="166">
        <f>G41/10.764</f>
        <v>10035.86027499071</v>
      </c>
      <c r="G41" s="152">
        <v>108026</v>
      </c>
      <c r="H41" s="149"/>
      <c r="I41" s="167" t="s">
        <v>408</v>
      </c>
    </row>
    <row r="42" spans="1:11" s="26" customFormat="1" ht="13.15">
      <c r="A42" s="167">
        <v>2</v>
      </c>
      <c r="B42" s="168" t="s">
        <v>271</v>
      </c>
      <c r="C42" s="168" t="s">
        <v>211</v>
      </c>
      <c r="D42" s="168" t="s">
        <v>311</v>
      </c>
      <c r="E42" s="166" t="s">
        <v>183</v>
      </c>
      <c r="F42" s="166">
        <f>G42/10.764</f>
        <v>4888.0527684875515</v>
      </c>
      <c r="G42" s="152">
        <v>52615</v>
      </c>
      <c r="H42" s="149"/>
      <c r="I42" s="167" t="s">
        <v>414</v>
      </c>
    </row>
    <row r="43" spans="1:11" s="26" customFormat="1" ht="13.15">
      <c r="A43" s="167"/>
      <c r="B43" s="246" t="s">
        <v>353</v>
      </c>
      <c r="C43" s="247"/>
      <c r="D43" s="247"/>
      <c r="E43" s="248"/>
      <c r="F43" s="91">
        <f>SUM(F41:F42)</f>
        <v>14923.91304347826</v>
      </c>
      <c r="G43" s="68">
        <f>SUM(G41:G42)</f>
        <v>160641</v>
      </c>
      <c r="H43" s="102"/>
      <c r="I43" s="90"/>
    </row>
    <row r="44" spans="1:11" s="54" customFormat="1" ht="18" customHeight="1">
      <c r="A44" s="148"/>
      <c r="B44" s="236" t="s">
        <v>227</v>
      </c>
      <c r="C44" s="236"/>
      <c r="D44" s="236"/>
      <c r="E44" s="236"/>
      <c r="F44" s="236"/>
      <c r="G44" s="236"/>
      <c r="H44" s="236"/>
      <c r="I44" s="236"/>
    </row>
    <row r="45" spans="1:11" s="54" customFormat="1">
      <c r="A45" s="162">
        <v>1</v>
      </c>
      <c r="B45" s="168" t="s">
        <v>228</v>
      </c>
      <c r="C45" s="168"/>
      <c r="D45" s="168"/>
      <c r="E45" s="167"/>
      <c r="F45" s="166"/>
      <c r="G45" s="166"/>
      <c r="H45" s="168"/>
      <c r="I45" s="167"/>
    </row>
    <row r="46" spans="1:11" s="26" customFormat="1" ht="13.15">
      <c r="A46" s="162"/>
      <c r="B46" s="243" t="s">
        <v>353</v>
      </c>
      <c r="C46" s="244"/>
      <c r="D46" s="244"/>
      <c r="E46" s="245"/>
      <c r="F46" s="84">
        <f>SUM(F45:F45)</f>
        <v>0</v>
      </c>
      <c r="G46" s="85">
        <f>SUM(G45:G45)</f>
        <v>0</v>
      </c>
      <c r="H46" s="102"/>
      <c r="I46" s="90"/>
    </row>
    <row r="47" spans="1:11" s="54" customFormat="1" ht="17.25">
      <c r="A47" s="83"/>
      <c r="B47" s="103"/>
      <c r="C47" s="104"/>
      <c r="D47" s="104"/>
      <c r="E47" s="104" t="s">
        <v>353</v>
      </c>
      <c r="F47" s="105">
        <f>F18+F23+F27+F30+F33+F36+F39+F43+F46</f>
        <v>295292.45633593458</v>
      </c>
      <c r="G47" s="105">
        <f>G18+G23+G27+G30+G33+G36+G39+G43+G46</f>
        <v>3178528</v>
      </c>
      <c r="H47" s="105"/>
      <c r="I47" s="106"/>
      <c r="K47" s="182"/>
    </row>
    <row r="49" spans="7:7">
      <c r="G49" s="81"/>
    </row>
    <row r="50" spans="7:7">
      <c r="G50" s="81"/>
    </row>
    <row r="51" spans="7:7">
      <c r="G51" s="81"/>
    </row>
  </sheetData>
  <autoFilter ref="A4:I28" xr:uid="{730A3079-73D7-4EFC-9C97-F444DB0FFBD8}"/>
  <mergeCells count="20">
    <mergeCell ref="B37:I37"/>
    <mergeCell ref="B39:E39"/>
    <mergeCell ref="B40:I40"/>
    <mergeCell ref="B43:E43"/>
    <mergeCell ref="B46:E46"/>
    <mergeCell ref="B44:I44"/>
    <mergeCell ref="B34:I34"/>
    <mergeCell ref="B36:E36"/>
    <mergeCell ref="B33:E33"/>
    <mergeCell ref="B1:I1"/>
    <mergeCell ref="B2:I2"/>
    <mergeCell ref="B5:I5"/>
    <mergeCell ref="B23:E23"/>
    <mergeCell ref="B24:I24"/>
    <mergeCell ref="B27:E27"/>
    <mergeCell ref="B28:I28"/>
    <mergeCell ref="B30:E30"/>
    <mergeCell ref="B31:I31"/>
    <mergeCell ref="B18:E18"/>
    <mergeCell ref="B19:I19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1C8B-BA0D-4DD2-A0D1-30FAB4210390}">
  <sheetPr codeName="Hoja4"/>
  <dimension ref="A1:P23"/>
  <sheetViews>
    <sheetView zoomScale="110" zoomScaleNormal="110" workbookViewId="0">
      <selection activeCell="B5" sqref="B5"/>
    </sheetView>
  </sheetViews>
  <sheetFormatPr defaultColWidth="11.42578125" defaultRowHeight="14.25"/>
  <cols>
    <col min="1" max="1" width="3" customWidth="1"/>
    <col min="2" max="2" width="17.7109375" customWidth="1"/>
    <col min="3" max="3" width="23.7109375" customWidth="1"/>
    <col min="4" max="4" width="33.5703125" customWidth="1"/>
    <col min="5" max="5" width="24" customWidth="1"/>
    <col min="6" max="6" width="15.28515625" customWidth="1"/>
    <col min="7" max="8" width="14.5703125" customWidth="1"/>
    <col min="9" max="9" width="7.5703125" customWidth="1"/>
    <col min="10" max="10" width="17.28515625" customWidth="1"/>
    <col min="11" max="11" width="18.28515625" customWidth="1"/>
    <col min="12" max="12" width="26.28515625" customWidth="1"/>
    <col min="13" max="13" width="9.42578125" customWidth="1"/>
    <col min="14" max="14" width="7.7109375" customWidth="1"/>
  </cols>
  <sheetData>
    <row r="1" spans="1:16" s="54" customFormat="1" ht="21.75">
      <c r="A1" s="82"/>
      <c r="B1" s="241" t="s">
        <v>0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82"/>
      <c r="P1" s="82"/>
    </row>
    <row r="2" spans="1:16" s="54" customFormat="1" ht="15.75" customHeight="1">
      <c r="A2" s="82"/>
      <c r="B2" s="221" t="s">
        <v>434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82"/>
      <c r="P2" s="82"/>
    </row>
    <row r="3" spans="1:16" s="3" customFormat="1" ht="13.15">
      <c r="A3" s="107"/>
      <c r="B3" s="80" t="s">
        <v>2</v>
      </c>
      <c r="C3" s="61" t="s">
        <v>435</v>
      </c>
      <c r="D3" s="61" t="s">
        <v>4</v>
      </c>
      <c r="E3" s="61" t="s">
        <v>436</v>
      </c>
      <c r="F3" s="61" t="s">
        <v>437</v>
      </c>
      <c r="G3" s="61" t="s">
        <v>438</v>
      </c>
      <c r="H3" s="61" t="s">
        <v>439</v>
      </c>
      <c r="I3" s="61" t="s">
        <v>9</v>
      </c>
      <c r="J3" s="61" t="s">
        <v>10</v>
      </c>
      <c r="K3" s="62" t="s">
        <v>12</v>
      </c>
      <c r="L3" s="62" t="s">
        <v>13</v>
      </c>
      <c r="M3" s="62" t="s">
        <v>15</v>
      </c>
      <c r="N3" s="62" t="s">
        <v>440</v>
      </c>
    </row>
    <row r="4" spans="1:16" s="41" customFormat="1" ht="13.15">
      <c r="A4" s="148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108"/>
      <c r="M4" s="108"/>
      <c r="N4" s="108"/>
      <c r="O4" s="82"/>
      <c r="P4" s="82"/>
    </row>
    <row r="5" spans="1:16" s="23" customFormat="1" ht="13.15">
      <c r="A5" s="171">
        <v>1</v>
      </c>
      <c r="B5" s="171" t="s">
        <v>18</v>
      </c>
      <c r="C5" s="171" t="s">
        <v>441</v>
      </c>
      <c r="D5" s="171" t="s">
        <v>442</v>
      </c>
      <c r="E5" s="43" t="s">
        <v>443</v>
      </c>
      <c r="F5" s="111" t="s">
        <v>444</v>
      </c>
      <c r="G5" s="109">
        <f>H5/10.764</f>
        <v>9010.3121516164992</v>
      </c>
      <c r="H5" s="109">
        <v>96987</v>
      </c>
      <c r="I5" s="110" t="s">
        <v>38</v>
      </c>
      <c r="J5" s="111" t="s">
        <v>39</v>
      </c>
      <c r="K5" s="109" t="s">
        <v>445</v>
      </c>
      <c r="L5" s="111"/>
      <c r="M5" s="111" t="s">
        <v>28</v>
      </c>
      <c r="N5" s="111"/>
      <c r="O5" s="112"/>
      <c r="P5" s="113"/>
    </row>
    <row r="6" spans="1:16" s="23" customFormat="1" ht="13.15">
      <c r="A6" s="171">
        <v>2</v>
      </c>
      <c r="B6" s="171" t="s">
        <v>228</v>
      </c>
      <c r="C6" s="171" t="s">
        <v>446</v>
      </c>
      <c r="D6" s="171" t="s">
        <v>230</v>
      </c>
      <c r="E6" s="43" t="s">
        <v>447</v>
      </c>
      <c r="F6" s="111">
        <v>1</v>
      </c>
      <c r="G6" s="109" t="s">
        <v>444</v>
      </c>
      <c r="H6" s="109" t="s">
        <v>444</v>
      </c>
      <c r="I6" s="110" t="s">
        <v>63</v>
      </c>
      <c r="J6" s="111" t="s">
        <v>448</v>
      </c>
      <c r="K6" s="109" t="s">
        <v>25</v>
      </c>
      <c r="L6" s="111"/>
      <c r="M6" s="111" t="s">
        <v>28</v>
      </c>
      <c r="N6" s="111"/>
      <c r="O6" s="112"/>
      <c r="P6" s="113"/>
    </row>
    <row r="7" spans="1:16" s="23" customFormat="1" ht="13.15">
      <c r="A7" s="171">
        <v>3</v>
      </c>
      <c r="B7" s="171" t="s">
        <v>314</v>
      </c>
      <c r="C7" s="171" t="s">
        <v>449</v>
      </c>
      <c r="D7" s="171" t="s">
        <v>450</v>
      </c>
      <c r="E7" s="43" t="s">
        <v>451</v>
      </c>
      <c r="F7" s="111" t="s">
        <v>444</v>
      </c>
      <c r="G7" s="109">
        <f>H7/10.764</f>
        <v>4878.2051282051289</v>
      </c>
      <c r="H7" s="109">
        <v>52509</v>
      </c>
      <c r="I7" s="110" t="s">
        <v>63</v>
      </c>
      <c r="J7" s="111" t="s">
        <v>52</v>
      </c>
      <c r="K7" s="109" t="s">
        <v>25</v>
      </c>
      <c r="L7" s="111"/>
      <c r="M7" s="111" t="s">
        <v>28</v>
      </c>
      <c r="N7" s="111"/>
      <c r="O7" s="112"/>
      <c r="P7" s="113"/>
    </row>
    <row r="8" spans="1:16" s="23" customFormat="1" ht="13.15">
      <c r="A8" s="171">
        <v>4</v>
      </c>
      <c r="B8" s="171" t="s">
        <v>322</v>
      </c>
      <c r="C8" s="171" t="s">
        <v>452</v>
      </c>
      <c r="D8" s="171" t="s">
        <v>331</v>
      </c>
      <c r="E8" s="43" t="s">
        <v>447</v>
      </c>
      <c r="F8" s="111">
        <v>6.86</v>
      </c>
      <c r="G8" s="109" t="s">
        <v>444</v>
      </c>
      <c r="H8" s="109" t="s">
        <v>444</v>
      </c>
      <c r="I8" s="110" t="s">
        <v>63</v>
      </c>
      <c r="J8" s="111" t="s">
        <v>448</v>
      </c>
      <c r="K8" s="109" t="s">
        <v>25</v>
      </c>
      <c r="L8" s="111"/>
      <c r="M8" s="111" t="s">
        <v>28</v>
      </c>
      <c r="N8" s="111"/>
      <c r="O8" s="112"/>
      <c r="P8" s="113"/>
    </row>
    <row r="9" spans="1:16" s="23" customFormat="1" ht="13.15">
      <c r="A9" s="171">
        <v>5</v>
      </c>
      <c r="B9" s="171" t="s">
        <v>392</v>
      </c>
      <c r="C9" s="171" t="s">
        <v>453</v>
      </c>
      <c r="D9" s="171" t="s">
        <v>454</v>
      </c>
      <c r="E9" s="43" t="s">
        <v>447</v>
      </c>
      <c r="F9" s="111">
        <v>43</v>
      </c>
      <c r="G9" s="109" t="s">
        <v>444</v>
      </c>
      <c r="H9" s="109" t="s">
        <v>444</v>
      </c>
      <c r="I9" s="110" t="s">
        <v>76</v>
      </c>
      <c r="J9" s="111" t="s">
        <v>33</v>
      </c>
      <c r="K9" s="109" t="s">
        <v>25</v>
      </c>
      <c r="L9" s="111"/>
      <c r="M9" s="111" t="s">
        <v>28</v>
      </c>
      <c r="N9" s="111"/>
      <c r="O9" s="112"/>
      <c r="P9" s="113"/>
    </row>
    <row r="10" spans="1:16" s="23" customFormat="1" ht="13.15">
      <c r="A10" s="171">
        <v>6</v>
      </c>
      <c r="B10" s="171" t="s">
        <v>392</v>
      </c>
      <c r="C10" s="171" t="s">
        <v>455</v>
      </c>
      <c r="D10" s="171" t="s">
        <v>454</v>
      </c>
      <c r="E10" s="43" t="s">
        <v>447</v>
      </c>
      <c r="F10" s="111">
        <v>36</v>
      </c>
      <c r="G10" s="109" t="s">
        <v>444</v>
      </c>
      <c r="H10" s="109" t="s">
        <v>444</v>
      </c>
      <c r="I10" s="110" t="s">
        <v>93</v>
      </c>
      <c r="J10" s="111" t="s">
        <v>48</v>
      </c>
      <c r="K10" s="109" t="s">
        <v>445</v>
      </c>
      <c r="L10" s="111"/>
      <c r="M10" s="111" t="s">
        <v>28</v>
      </c>
      <c r="N10" s="111"/>
      <c r="O10" s="112"/>
      <c r="P10" s="113"/>
    </row>
    <row r="11" spans="1:16" s="23" customFormat="1" ht="13.15">
      <c r="A11" s="171">
        <v>7</v>
      </c>
      <c r="B11" s="171" t="s">
        <v>322</v>
      </c>
      <c r="C11" s="171" t="s">
        <v>456</v>
      </c>
      <c r="D11" s="171" t="s">
        <v>426</v>
      </c>
      <c r="E11" s="43" t="s">
        <v>447</v>
      </c>
      <c r="F11" s="111">
        <v>15</v>
      </c>
      <c r="G11" s="109" t="s">
        <v>444</v>
      </c>
      <c r="H11" s="109" t="s">
        <v>444</v>
      </c>
      <c r="I11" s="110" t="s">
        <v>93</v>
      </c>
      <c r="J11" s="111" t="s">
        <v>39</v>
      </c>
      <c r="K11" s="109" t="s">
        <v>25</v>
      </c>
      <c r="L11" s="111"/>
      <c r="M11" s="111" t="s">
        <v>28</v>
      </c>
      <c r="N11" s="111"/>
      <c r="O11" s="112"/>
      <c r="P11" s="113"/>
    </row>
    <row r="12" spans="1:16" s="23" customFormat="1" ht="13.15">
      <c r="A12" s="171">
        <v>8</v>
      </c>
      <c r="B12" s="171" t="s">
        <v>271</v>
      </c>
      <c r="C12" s="171" t="s">
        <v>457</v>
      </c>
      <c r="D12" s="171" t="s">
        <v>277</v>
      </c>
      <c r="E12" s="43" t="s">
        <v>451</v>
      </c>
      <c r="F12" s="111" t="s">
        <v>444</v>
      </c>
      <c r="G12" s="109">
        <f>H12/10.764</f>
        <v>2897.9933110367897</v>
      </c>
      <c r="H12" s="109">
        <v>31194</v>
      </c>
      <c r="I12" s="110" t="s">
        <v>93</v>
      </c>
      <c r="J12" s="111" t="s">
        <v>39</v>
      </c>
      <c r="K12" s="109" t="s">
        <v>25</v>
      </c>
      <c r="L12" s="111"/>
      <c r="M12" s="111" t="s">
        <v>28</v>
      </c>
      <c r="N12" s="111"/>
      <c r="O12" s="112"/>
      <c r="P12" s="113"/>
    </row>
    <row r="13" spans="1:16" s="23" customFormat="1" ht="13.15">
      <c r="A13" s="171">
        <v>9</v>
      </c>
      <c r="B13" s="171" t="s">
        <v>18</v>
      </c>
      <c r="C13" s="171" t="s">
        <v>458</v>
      </c>
      <c r="D13" s="171" t="s">
        <v>459</v>
      </c>
      <c r="E13" s="43" t="s">
        <v>447</v>
      </c>
      <c r="F13" s="111">
        <v>1.5</v>
      </c>
      <c r="G13" s="109" t="s">
        <v>444</v>
      </c>
      <c r="H13" s="109" t="s">
        <v>444</v>
      </c>
      <c r="I13" s="110" t="s">
        <v>93</v>
      </c>
      <c r="J13" s="111" t="s">
        <v>101</v>
      </c>
      <c r="K13" s="109" t="s">
        <v>25</v>
      </c>
      <c r="L13" s="111"/>
      <c r="M13" s="111" t="s">
        <v>28</v>
      </c>
      <c r="N13" s="111"/>
      <c r="O13" s="112"/>
      <c r="P13" s="113"/>
    </row>
    <row r="14" spans="1:16" s="23" customFormat="1" ht="13.15">
      <c r="A14" s="171">
        <v>10</v>
      </c>
      <c r="B14" s="171" t="s">
        <v>18</v>
      </c>
      <c r="C14" s="171" t="s">
        <v>460</v>
      </c>
      <c r="D14" s="171" t="s">
        <v>461</v>
      </c>
      <c r="E14" s="43" t="s">
        <v>447</v>
      </c>
      <c r="F14" s="111">
        <v>3.5</v>
      </c>
      <c r="G14" s="109" t="s">
        <v>444</v>
      </c>
      <c r="H14" s="109" t="s">
        <v>444</v>
      </c>
      <c r="I14" s="110" t="s">
        <v>47</v>
      </c>
      <c r="J14" s="111" t="s">
        <v>101</v>
      </c>
      <c r="K14" s="109" t="s">
        <v>25</v>
      </c>
      <c r="L14" s="111"/>
      <c r="M14" s="111" t="s">
        <v>28</v>
      </c>
      <c r="N14" s="111"/>
      <c r="O14" s="112"/>
      <c r="P14" s="113"/>
    </row>
    <row r="15" spans="1:16" s="23" customFormat="1" ht="13.15">
      <c r="A15" s="171">
        <v>11</v>
      </c>
      <c r="B15" s="171" t="s">
        <v>462</v>
      </c>
      <c r="C15" s="171" t="s">
        <v>463</v>
      </c>
      <c r="D15" s="171" t="s">
        <v>464</v>
      </c>
      <c r="E15" s="43" t="s">
        <v>447</v>
      </c>
      <c r="F15" s="111">
        <v>30</v>
      </c>
      <c r="G15" s="109" t="s">
        <v>444</v>
      </c>
      <c r="H15" s="109" t="s">
        <v>444</v>
      </c>
      <c r="I15" s="110" t="s">
        <v>47</v>
      </c>
      <c r="J15" s="111" t="s">
        <v>39</v>
      </c>
      <c r="K15" s="109" t="s">
        <v>25</v>
      </c>
      <c r="L15" s="111"/>
      <c r="M15" s="111" t="s">
        <v>28</v>
      </c>
      <c r="N15" s="111"/>
      <c r="O15" s="112"/>
      <c r="P15" s="113"/>
    </row>
    <row r="16" spans="1:16" s="23" customFormat="1" ht="13.15">
      <c r="A16" s="171">
        <v>12</v>
      </c>
      <c r="B16" s="171" t="s">
        <v>322</v>
      </c>
      <c r="C16" s="171" t="s">
        <v>465</v>
      </c>
      <c r="D16" s="171" t="s">
        <v>466</v>
      </c>
      <c r="E16" s="43" t="s">
        <v>447</v>
      </c>
      <c r="F16" s="111">
        <v>27</v>
      </c>
      <c r="G16" s="109" t="s">
        <v>444</v>
      </c>
      <c r="H16" s="109" t="s">
        <v>444</v>
      </c>
      <c r="I16" s="110" t="s">
        <v>47</v>
      </c>
      <c r="J16" s="111" t="s">
        <v>101</v>
      </c>
      <c r="K16" s="109" t="s">
        <v>445</v>
      </c>
      <c r="L16" s="111"/>
      <c r="M16" s="111" t="s">
        <v>28</v>
      </c>
      <c r="N16" s="111"/>
      <c r="O16" s="112"/>
      <c r="P16" s="113"/>
    </row>
    <row r="17" spans="1:16" s="23" customFormat="1" ht="13.15">
      <c r="A17" s="171">
        <v>13</v>
      </c>
      <c r="B17" s="171" t="s">
        <v>392</v>
      </c>
      <c r="C17" s="171" t="s">
        <v>241</v>
      </c>
      <c r="D17" s="171" t="s">
        <v>454</v>
      </c>
      <c r="E17" s="43" t="s">
        <v>447</v>
      </c>
      <c r="F17" s="111">
        <v>16</v>
      </c>
      <c r="G17" s="109" t="s">
        <v>444</v>
      </c>
      <c r="H17" s="109" t="s">
        <v>444</v>
      </c>
      <c r="I17" s="110" t="s">
        <v>70</v>
      </c>
      <c r="J17" s="111" t="s">
        <v>39</v>
      </c>
      <c r="K17" s="109" t="s">
        <v>25</v>
      </c>
      <c r="L17" s="111"/>
      <c r="M17" s="111" t="s">
        <v>28</v>
      </c>
      <c r="N17" s="111"/>
      <c r="O17" s="112"/>
      <c r="P17" s="113"/>
    </row>
    <row r="18" spans="1:16" s="23" customFormat="1" ht="13.15">
      <c r="A18" s="171">
        <v>14</v>
      </c>
      <c r="B18" s="171" t="s">
        <v>271</v>
      </c>
      <c r="C18" s="171" t="s">
        <v>467</v>
      </c>
      <c r="D18" s="171" t="s">
        <v>277</v>
      </c>
      <c r="E18" s="43" t="s">
        <v>31</v>
      </c>
      <c r="F18" s="111" t="s">
        <v>444</v>
      </c>
      <c r="G18" s="109">
        <f>H18/10.764</f>
        <v>7899.9442586399109</v>
      </c>
      <c r="H18" s="109">
        <v>85035</v>
      </c>
      <c r="I18" s="110" t="s">
        <v>96</v>
      </c>
      <c r="J18" s="111" t="s">
        <v>39</v>
      </c>
      <c r="K18" s="109" t="s">
        <v>25</v>
      </c>
      <c r="L18" s="111"/>
      <c r="M18" s="111" t="s">
        <v>28</v>
      </c>
      <c r="N18" s="111"/>
      <c r="O18" s="112"/>
      <c r="P18" s="113"/>
    </row>
    <row r="19" spans="1:16" s="23" customFormat="1" ht="13.15">
      <c r="A19" s="171">
        <v>15</v>
      </c>
      <c r="B19" s="171" t="s">
        <v>322</v>
      </c>
      <c r="C19" s="171" t="s">
        <v>468</v>
      </c>
      <c r="D19" s="171" t="s">
        <v>426</v>
      </c>
      <c r="E19" s="43" t="s">
        <v>31</v>
      </c>
      <c r="F19" s="111" t="s">
        <v>444</v>
      </c>
      <c r="G19" s="109">
        <f>H19/10.764</f>
        <v>41657.655146785582</v>
      </c>
      <c r="H19" s="109">
        <v>448403</v>
      </c>
      <c r="I19" s="110" t="s">
        <v>23</v>
      </c>
      <c r="J19" s="111" t="s">
        <v>101</v>
      </c>
      <c r="K19" s="109" t="s">
        <v>25</v>
      </c>
      <c r="L19" s="111"/>
      <c r="M19" s="111" t="s">
        <v>28</v>
      </c>
      <c r="N19" s="111"/>
      <c r="O19" s="112"/>
      <c r="P19" s="113"/>
    </row>
    <row r="20" spans="1:16" s="122" customFormat="1" ht="17.25">
      <c r="A20" s="114"/>
      <c r="B20" s="115"/>
      <c r="C20" s="115"/>
      <c r="D20" s="116"/>
      <c r="E20" s="116" t="s">
        <v>353</v>
      </c>
      <c r="F20" s="117">
        <f>SUM(F5:F18)</f>
        <v>179.86</v>
      </c>
      <c r="G20" s="117">
        <f>SUM(G5:G19)</f>
        <v>66344.109996283922</v>
      </c>
      <c r="H20" s="117">
        <f>SUM(H5:H19)</f>
        <v>714128</v>
      </c>
      <c r="I20" s="118"/>
      <c r="J20" s="116"/>
      <c r="K20" s="119"/>
      <c r="L20" s="120"/>
      <c r="M20" s="120"/>
      <c r="N20" s="120"/>
      <c r="O20" s="121"/>
      <c r="P20" s="121"/>
    </row>
    <row r="22" spans="1:16">
      <c r="A22" s="157"/>
    </row>
    <row r="23" spans="1:16">
      <c r="B23" s="101"/>
      <c r="C23" s="101"/>
      <c r="D23" s="101"/>
      <c r="E23" s="197"/>
      <c r="F23" s="197"/>
      <c r="G23" s="197"/>
      <c r="H23" s="197"/>
    </row>
  </sheetData>
  <mergeCells count="3">
    <mergeCell ref="B1:N1"/>
    <mergeCell ref="B2:N2"/>
    <mergeCell ref="B4:K4"/>
  </mergeCells>
  <pageMargins left="0.70866141732283472" right="0.70866141732283472" top="0.74803149606299213" bottom="0.74803149606299213" header="0.31496062992125984" footer="0.31496062992125984"/>
  <pageSetup paperSize="17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2658-FC51-4D63-8DCC-86999BA32FAE}">
  <sheetPr codeName="Hoja5"/>
  <dimension ref="A1:Q34"/>
  <sheetViews>
    <sheetView topLeftCell="A4" workbookViewId="0">
      <selection activeCell="G7" sqref="G7"/>
    </sheetView>
  </sheetViews>
  <sheetFormatPr defaultColWidth="11.42578125" defaultRowHeight="14.25"/>
  <cols>
    <col min="1" max="1" width="3" customWidth="1"/>
    <col min="2" max="2" width="17.7109375" customWidth="1"/>
    <col min="3" max="3" width="20.85546875" customWidth="1"/>
    <col min="4" max="4" width="29.7109375" customWidth="1"/>
    <col min="5" max="5" width="21.42578125" customWidth="1"/>
    <col min="6" max="6" width="15.5703125" customWidth="1"/>
    <col min="7" max="7" width="19.28515625" customWidth="1"/>
    <col min="8" max="8" width="23.85546875" customWidth="1"/>
    <col min="9" max="9" width="12.42578125" customWidth="1"/>
    <col min="10" max="10" width="26.140625" customWidth="1"/>
  </cols>
  <sheetData>
    <row r="1" spans="1:17" s="54" customFormat="1" ht="21.75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24"/>
      <c r="L1" s="124"/>
      <c r="M1" s="124"/>
      <c r="N1" s="124"/>
      <c r="O1" s="124"/>
      <c r="P1" s="82"/>
      <c r="Q1" s="82"/>
    </row>
    <row r="2" spans="1:17" s="54" customFormat="1" ht="15.75" customHeight="1">
      <c r="A2" s="242" t="s">
        <v>469</v>
      </c>
      <c r="B2" s="242"/>
      <c r="C2" s="242"/>
      <c r="D2" s="242"/>
      <c r="E2" s="242"/>
      <c r="F2" s="242"/>
      <c r="G2" s="242"/>
      <c r="H2" s="242"/>
      <c r="I2" s="242"/>
      <c r="J2" s="242"/>
      <c r="K2" s="125"/>
      <c r="L2" s="125"/>
      <c r="M2" s="125"/>
      <c r="N2" s="125"/>
      <c r="O2" s="125"/>
      <c r="P2" s="82"/>
      <c r="Q2" s="82"/>
    </row>
    <row r="3" spans="1:17" s="54" customFormat="1">
      <c r="A3" s="82"/>
      <c r="B3" s="82"/>
      <c r="C3" s="82"/>
      <c r="D3" s="82"/>
      <c r="E3" s="82"/>
      <c r="F3" s="82"/>
      <c r="G3" s="82"/>
      <c r="H3" s="82"/>
      <c r="I3" s="82"/>
      <c r="J3" s="82"/>
      <c r="K3" s="126"/>
      <c r="L3" s="82"/>
      <c r="M3" s="82"/>
      <c r="N3" s="82"/>
      <c r="O3" s="82"/>
      <c r="P3" s="82"/>
      <c r="Q3" s="82"/>
    </row>
    <row r="4" spans="1:17" s="3" customFormat="1" ht="27" customHeight="1">
      <c r="A4" s="107"/>
      <c r="B4" s="80" t="s">
        <v>2</v>
      </c>
      <c r="C4" s="61" t="s">
        <v>435</v>
      </c>
      <c r="D4" s="61" t="s">
        <v>4</v>
      </c>
      <c r="E4" s="127" t="s">
        <v>470</v>
      </c>
      <c r="F4" s="61" t="s">
        <v>471</v>
      </c>
      <c r="G4" s="61" t="s">
        <v>472</v>
      </c>
      <c r="H4" s="61" t="s">
        <v>473</v>
      </c>
      <c r="I4" s="62" t="s">
        <v>440</v>
      </c>
      <c r="J4" s="62" t="s">
        <v>13</v>
      </c>
    </row>
    <row r="5" spans="1:17" s="41" customFormat="1" ht="14.25" customHeight="1">
      <c r="A5" s="148"/>
      <c r="B5" s="250"/>
      <c r="C5" s="250"/>
      <c r="D5" s="250"/>
      <c r="E5" s="250"/>
      <c r="F5" s="250"/>
      <c r="G5" s="250"/>
      <c r="H5" s="250"/>
      <c r="I5" s="250"/>
      <c r="J5" s="128"/>
      <c r="K5" s="82"/>
      <c r="L5" s="82"/>
    </row>
    <row r="6" spans="1:17" s="23" customFormat="1" ht="24" customHeight="1">
      <c r="A6" s="171">
        <v>1</v>
      </c>
      <c r="B6" s="165" t="s">
        <v>392</v>
      </c>
      <c r="C6" s="167" t="s">
        <v>474</v>
      </c>
      <c r="D6" s="167" t="s">
        <v>475</v>
      </c>
      <c r="E6" s="166">
        <v>1433</v>
      </c>
      <c r="F6" s="166">
        <v>77.89</v>
      </c>
      <c r="G6" s="166">
        <v>1355</v>
      </c>
      <c r="H6" s="166">
        <v>78</v>
      </c>
      <c r="I6" s="129">
        <v>60</v>
      </c>
      <c r="J6" s="130" t="s">
        <v>476</v>
      </c>
      <c r="K6" s="112"/>
      <c r="L6" s="113"/>
    </row>
    <row r="7" spans="1:17" s="23" customFormat="1" ht="24" customHeight="1">
      <c r="A7" s="171">
        <v>2</v>
      </c>
      <c r="B7" s="165" t="s">
        <v>197</v>
      </c>
      <c r="C7" s="167" t="s">
        <v>206</v>
      </c>
      <c r="D7" s="167" t="s">
        <v>477</v>
      </c>
      <c r="E7" s="166">
        <v>19</v>
      </c>
      <c r="F7" s="166"/>
      <c r="G7" s="166">
        <v>19</v>
      </c>
      <c r="H7" s="166">
        <v>19</v>
      </c>
      <c r="I7" s="129"/>
      <c r="J7" s="130"/>
      <c r="K7" s="112"/>
      <c r="L7" s="113"/>
    </row>
    <row r="8" spans="1:17" s="23" customFormat="1" ht="13.15">
      <c r="A8" s="171">
        <v>3</v>
      </c>
      <c r="B8" s="165" t="s">
        <v>197</v>
      </c>
      <c r="C8" s="167" t="s">
        <v>74</v>
      </c>
      <c r="D8" s="167" t="s">
        <v>431</v>
      </c>
      <c r="E8" s="123"/>
      <c r="F8" s="166"/>
      <c r="G8" s="166"/>
      <c r="H8" s="166"/>
      <c r="I8" s="129"/>
      <c r="J8" s="167"/>
      <c r="K8" s="112"/>
      <c r="L8" s="113"/>
    </row>
    <row r="9" spans="1:17" s="23" customFormat="1" ht="13.15">
      <c r="A9" s="171">
        <v>4</v>
      </c>
      <c r="B9" s="165" t="s">
        <v>197</v>
      </c>
      <c r="C9" s="167" t="s">
        <v>299</v>
      </c>
      <c r="D9" s="167" t="s">
        <v>478</v>
      </c>
      <c r="E9" s="166"/>
      <c r="F9" s="167"/>
      <c r="G9" s="166"/>
      <c r="H9" s="166"/>
      <c r="I9" s="129"/>
      <c r="J9" s="167"/>
      <c r="K9" s="112"/>
      <c r="L9" s="113"/>
    </row>
    <row r="10" spans="1:17" s="23" customFormat="1" ht="13.15">
      <c r="A10" s="171">
        <v>5</v>
      </c>
      <c r="B10" s="165" t="s">
        <v>197</v>
      </c>
      <c r="C10" s="167" t="s">
        <v>299</v>
      </c>
      <c r="D10" s="167" t="s">
        <v>479</v>
      </c>
      <c r="E10" s="166"/>
      <c r="F10" s="167"/>
      <c r="G10" s="166"/>
      <c r="H10" s="166"/>
      <c r="I10" s="129"/>
      <c r="J10" s="167"/>
      <c r="K10" s="112"/>
      <c r="L10" s="113"/>
    </row>
    <row r="11" spans="1:17" s="23" customFormat="1" ht="13.15">
      <c r="A11" s="171">
        <v>6</v>
      </c>
      <c r="B11" s="165" t="s">
        <v>197</v>
      </c>
      <c r="C11" s="167" t="s">
        <v>480</v>
      </c>
      <c r="D11" s="167" t="s">
        <v>481</v>
      </c>
      <c r="E11" s="166"/>
      <c r="F11" s="167"/>
      <c r="G11" s="166"/>
      <c r="H11" s="166"/>
      <c r="I11" s="129"/>
      <c r="J11" s="167"/>
      <c r="K11" s="112"/>
      <c r="L11" s="113"/>
    </row>
    <row r="12" spans="1:17" s="23" customFormat="1" ht="13.15">
      <c r="A12" s="171">
        <v>7</v>
      </c>
      <c r="B12" s="165" t="s">
        <v>18</v>
      </c>
      <c r="C12" s="167" t="s">
        <v>482</v>
      </c>
      <c r="D12" s="167" t="s">
        <v>483</v>
      </c>
      <c r="E12" s="166" t="s">
        <v>484</v>
      </c>
      <c r="F12" s="167"/>
      <c r="G12" s="166"/>
      <c r="H12" s="166" t="s">
        <v>484</v>
      </c>
      <c r="I12" s="129">
        <v>110</v>
      </c>
      <c r="J12" s="151"/>
    </row>
    <row r="13" spans="1:17" s="23" customFormat="1" ht="13.15">
      <c r="A13" s="171">
        <v>8</v>
      </c>
      <c r="B13" s="165" t="s">
        <v>18</v>
      </c>
      <c r="C13" s="167" t="s">
        <v>485</v>
      </c>
      <c r="D13" s="167" t="s">
        <v>108</v>
      </c>
      <c r="E13" s="166">
        <v>27</v>
      </c>
      <c r="F13" s="167">
        <v>2.2999999999999998</v>
      </c>
      <c r="G13" s="166">
        <v>24</v>
      </c>
      <c r="H13" s="166"/>
      <c r="I13" s="129"/>
      <c r="J13" s="151"/>
    </row>
    <row r="14" spans="1:17" s="23" customFormat="1" ht="13.15">
      <c r="A14" s="171">
        <v>9</v>
      </c>
      <c r="B14" s="165" t="s">
        <v>18</v>
      </c>
      <c r="C14" s="167" t="s">
        <v>281</v>
      </c>
      <c r="D14" s="167" t="s">
        <v>486</v>
      </c>
      <c r="E14" s="109">
        <v>70</v>
      </c>
      <c r="F14" s="111">
        <v>70</v>
      </c>
      <c r="G14" s="109">
        <v>0</v>
      </c>
      <c r="H14" s="109">
        <v>0</v>
      </c>
      <c r="I14" s="131"/>
      <c r="J14" s="151"/>
    </row>
    <row r="15" spans="1:17" s="23" customFormat="1" ht="13.15">
      <c r="A15" s="171">
        <v>10</v>
      </c>
      <c r="B15" s="165" t="s">
        <v>18</v>
      </c>
      <c r="C15" s="167" t="s">
        <v>80</v>
      </c>
      <c r="D15" s="167" t="s">
        <v>487</v>
      </c>
      <c r="E15" s="109">
        <v>43</v>
      </c>
      <c r="F15" s="111">
        <v>2.6</v>
      </c>
      <c r="G15" s="109">
        <v>40</v>
      </c>
      <c r="H15" s="109">
        <v>40</v>
      </c>
      <c r="I15" s="131"/>
      <c r="J15" s="151"/>
    </row>
    <row r="16" spans="1:17" s="23" customFormat="1" ht="13.15">
      <c r="A16" s="171">
        <v>11</v>
      </c>
      <c r="B16" s="165" t="s">
        <v>488</v>
      </c>
      <c r="C16" s="167" t="s">
        <v>281</v>
      </c>
      <c r="D16" s="167" t="s">
        <v>277</v>
      </c>
      <c r="E16" s="109">
        <v>242</v>
      </c>
      <c r="F16" s="111">
        <v>200</v>
      </c>
      <c r="G16" s="109">
        <v>32</v>
      </c>
      <c r="H16" s="109">
        <v>32</v>
      </c>
      <c r="I16" s="131"/>
      <c r="J16" s="151"/>
    </row>
    <row r="17" spans="1:12" s="23" customFormat="1" ht="13.15">
      <c r="A17" s="171">
        <v>12</v>
      </c>
      <c r="B17" s="165" t="s">
        <v>489</v>
      </c>
      <c r="C17" s="167" t="s">
        <v>281</v>
      </c>
      <c r="D17" s="167" t="s">
        <v>329</v>
      </c>
      <c r="E17" s="109">
        <v>150</v>
      </c>
      <c r="F17" s="111">
        <v>89</v>
      </c>
      <c r="G17" s="109">
        <v>67</v>
      </c>
      <c r="H17" s="109">
        <v>67</v>
      </c>
      <c r="I17" s="131"/>
      <c r="J17" s="151"/>
    </row>
    <row r="18" spans="1:12" s="23" customFormat="1" ht="13.15">
      <c r="A18" s="171">
        <v>13</v>
      </c>
      <c r="B18" s="165" t="s">
        <v>489</v>
      </c>
      <c r="C18" s="167" t="s">
        <v>490</v>
      </c>
      <c r="D18" s="167" t="s">
        <v>490</v>
      </c>
      <c r="E18" s="166">
        <v>2.7</v>
      </c>
      <c r="F18" s="167"/>
      <c r="G18" s="166">
        <v>1</v>
      </c>
      <c r="H18" s="166">
        <v>1.7</v>
      </c>
      <c r="I18" s="129"/>
      <c r="J18" s="151"/>
    </row>
    <row r="19" spans="1:12" s="23" customFormat="1" ht="13.15">
      <c r="A19" s="171">
        <v>14</v>
      </c>
      <c r="B19" s="165" t="s">
        <v>489</v>
      </c>
      <c r="C19" s="167" t="s">
        <v>374</v>
      </c>
      <c r="D19" s="167" t="s">
        <v>491</v>
      </c>
      <c r="E19" s="166">
        <v>40</v>
      </c>
      <c r="F19" s="167"/>
      <c r="G19" s="166">
        <v>40</v>
      </c>
      <c r="H19" s="166">
        <v>40</v>
      </c>
      <c r="I19" s="129"/>
      <c r="J19" s="151"/>
    </row>
    <row r="20" spans="1:12" s="23" customFormat="1" ht="13.15">
      <c r="A20" s="171">
        <v>15</v>
      </c>
      <c r="B20" s="165" t="s">
        <v>228</v>
      </c>
      <c r="C20" s="167" t="s">
        <v>255</v>
      </c>
      <c r="D20" s="167" t="s">
        <v>254</v>
      </c>
      <c r="E20" s="166">
        <v>21</v>
      </c>
      <c r="F20" s="167"/>
      <c r="G20" s="166">
        <v>21</v>
      </c>
      <c r="H20" s="166">
        <v>21</v>
      </c>
      <c r="I20" s="129">
        <v>110</v>
      </c>
      <c r="J20" s="151" t="s">
        <v>492</v>
      </c>
    </row>
    <row r="21" spans="1:12" s="23" customFormat="1" ht="13.15">
      <c r="A21" s="171">
        <v>16</v>
      </c>
      <c r="B21" s="165" t="s">
        <v>493</v>
      </c>
      <c r="C21" s="167" t="s">
        <v>163</v>
      </c>
      <c r="D21" s="167" t="s">
        <v>494</v>
      </c>
      <c r="E21" s="166">
        <v>72</v>
      </c>
      <c r="F21" s="167"/>
      <c r="G21" s="166">
        <v>72</v>
      </c>
      <c r="H21" s="166">
        <v>72</v>
      </c>
      <c r="I21" s="129"/>
      <c r="J21" s="151"/>
    </row>
    <row r="22" spans="1:12" s="23" customFormat="1" ht="13.15">
      <c r="A22" s="171">
        <v>17</v>
      </c>
      <c r="B22" s="165" t="s">
        <v>495</v>
      </c>
      <c r="C22" s="167" t="s">
        <v>496</v>
      </c>
      <c r="D22" s="167" t="s">
        <v>497</v>
      </c>
      <c r="E22" s="166">
        <v>65</v>
      </c>
      <c r="F22" s="167">
        <v>5</v>
      </c>
      <c r="G22" s="166">
        <v>60</v>
      </c>
      <c r="H22" s="166"/>
      <c r="I22" s="129"/>
      <c r="J22" s="151"/>
    </row>
    <row r="23" spans="1:12" s="23" customFormat="1" ht="13.15">
      <c r="A23" s="171">
        <v>18</v>
      </c>
      <c r="B23" s="165" t="s">
        <v>498</v>
      </c>
      <c r="C23" s="167" t="s">
        <v>499</v>
      </c>
      <c r="D23" s="167" t="s">
        <v>500</v>
      </c>
      <c r="E23" s="166">
        <v>100</v>
      </c>
      <c r="F23" s="167">
        <v>0</v>
      </c>
      <c r="G23" s="166">
        <v>100</v>
      </c>
      <c r="H23" s="166">
        <v>100</v>
      </c>
      <c r="I23" s="132"/>
      <c r="J23" s="151"/>
    </row>
    <row r="24" spans="1:12" s="23" customFormat="1" ht="13.15">
      <c r="A24" s="171">
        <v>19</v>
      </c>
      <c r="B24" s="165" t="s">
        <v>498</v>
      </c>
      <c r="C24" s="167" t="s">
        <v>499</v>
      </c>
      <c r="D24" s="167" t="s">
        <v>501</v>
      </c>
      <c r="E24" s="166">
        <v>15</v>
      </c>
      <c r="F24" s="167">
        <v>5</v>
      </c>
      <c r="G24" s="166">
        <v>10</v>
      </c>
      <c r="H24" s="166">
        <v>6</v>
      </c>
      <c r="I24" s="132"/>
      <c r="J24" s="151"/>
    </row>
    <row r="25" spans="1:12" s="23" customFormat="1" ht="13.15">
      <c r="A25" s="171">
        <v>20</v>
      </c>
      <c r="B25" s="165" t="s">
        <v>502</v>
      </c>
      <c r="C25" s="167" t="s">
        <v>499</v>
      </c>
      <c r="D25" s="167" t="s">
        <v>503</v>
      </c>
      <c r="E25" s="166">
        <v>56</v>
      </c>
      <c r="F25" s="167">
        <v>20</v>
      </c>
      <c r="G25" s="166">
        <v>36</v>
      </c>
      <c r="H25" s="166">
        <v>56</v>
      </c>
      <c r="I25" s="132"/>
      <c r="J25" s="151"/>
    </row>
    <row r="26" spans="1:12" s="23" customFormat="1" ht="13.15">
      <c r="A26" s="171">
        <v>21</v>
      </c>
      <c r="B26" s="165" t="s">
        <v>314</v>
      </c>
      <c r="C26" s="167" t="s">
        <v>499</v>
      </c>
      <c r="D26" s="167" t="s">
        <v>504</v>
      </c>
      <c r="E26" s="166">
        <v>40</v>
      </c>
      <c r="F26" s="167">
        <v>50</v>
      </c>
      <c r="G26" s="166">
        <v>40</v>
      </c>
      <c r="H26" s="166">
        <v>15</v>
      </c>
      <c r="I26" s="132"/>
      <c r="J26" s="151"/>
    </row>
    <row r="27" spans="1:12" s="23" customFormat="1" ht="13.15">
      <c r="A27" s="171">
        <v>22</v>
      </c>
      <c r="B27" s="165" t="s">
        <v>314</v>
      </c>
      <c r="C27" s="167" t="s">
        <v>206</v>
      </c>
      <c r="D27" s="167" t="s">
        <v>505</v>
      </c>
      <c r="E27" s="166">
        <v>14.6</v>
      </c>
      <c r="F27" s="167"/>
      <c r="G27" s="166">
        <v>15</v>
      </c>
      <c r="H27" s="166">
        <v>15</v>
      </c>
      <c r="I27" s="129"/>
      <c r="J27" s="151" t="s">
        <v>506</v>
      </c>
    </row>
    <row r="28" spans="1:12" s="23" customFormat="1" ht="13.15">
      <c r="A28" s="171">
        <v>23</v>
      </c>
      <c r="B28" s="165" t="s">
        <v>507</v>
      </c>
      <c r="C28" s="167" t="s">
        <v>508</v>
      </c>
      <c r="D28" s="167" t="s">
        <v>509</v>
      </c>
      <c r="E28" s="166">
        <v>114</v>
      </c>
      <c r="F28" s="167">
        <v>0</v>
      </c>
      <c r="G28" s="166">
        <v>114</v>
      </c>
      <c r="H28" s="166"/>
      <c r="I28" s="129"/>
      <c r="J28" s="151"/>
    </row>
    <row r="29" spans="1:12" s="23" customFormat="1" ht="13.15">
      <c r="A29" s="171">
        <v>24</v>
      </c>
      <c r="B29" s="165" t="s">
        <v>314</v>
      </c>
      <c r="C29" s="167" t="s">
        <v>510</v>
      </c>
      <c r="D29" s="167" t="s">
        <v>511</v>
      </c>
      <c r="E29" s="166">
        <v>10</v>
      </c>
      <c r="F29" s="167">
        <v>0</v>
      </c>
      <c r="G29" s="166">
        <v>10</v>
      </c>
      <c r="H29" s="166">
        <v>10</v>
      </c>
      <c r="I29" s="129"/>
      <c r="J29" s="151"/>
    </row>
    <row r="30" spans="1:12" s="23" customFormat="1" ht="13.15">
      <c r="A30" s="171">
        <v>25</v>
      </c>
      <c r="B30" s="165" t="s">
        <v>214</v>
      </c>
      <c r="C30" s="167" t="s">
        <v>217</v>
      </c>
      <c r="D30" s="167" t="s">
        <v>512</v>
      </c>
      <c r="E30" s="166"/>
      <c r="F30" s="167"/>
      <c r="G30" s="166"/>
      <c r="H30" s="166"/>
      <c r="I30" s="129"/>
      <c r="J30" s="151"/>
    </row>
    <row r="31" spans="1:12" s="122" customFormat="1" ht="17.25">
      <c r="A31" s="133"/>
      <c r="B31" s="134"/>
      <c r="C31" s="134"/>
      <c r="D31" s="135"/>
      <c r="E31" s="136"/>
      <c r="F31" s="135"/>
      <c r="G31" s="136"/>
      <c r="H31" s="136"/>
      <c r="I31" s="136"/>
      <c r="J31" s="137"/>
      <c r="K31" s="121"/>
      <c r="L31" s="121"/>
    </row>
    <row r="33" spans="3:3">
      <c r="C33" s="123"/>
    </row>
    <row r="34" spans="3:3">
      <c r="C34" s="123"/>
    </row>
  </sheetData>
  <mergeCells count="3">
    <mergeCell ref="A1:J1"/>
    <mergeCell ref="A2:J2"/>
    <mergeCell ref="B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1E5-1042-45A2-B36A-585245E2EFC4}">
  <sheetPr codeName="Hoja6"/>
  <dimension ref="A1:F43"/>
  <sheetViews>
    <sheetView topLeftCell="A22" workbookViewId="0">
      <selection activeCell="F39" sqref="F39"/>
    </sheetView>
  </sheetViews>
  <sheetFormatPr defaultColWidth="11.42578125" defaultRowHeight="14.25"/>
  <cols>
    <col min="1" max="1" width="41.28515625" customWidth="1"/>
    <col min="2" max="2" width="13.42578125" customWidth="1"/>
    <col min="3" max="3" width="12.5703125" customWidth="1"/>
  </cols>
  <sheetData>
    <row r="1" spans="1:4" ht="14.65" thickBot="1">
      <c r="A1" s="251" t="s">
        <v>513</v>
      </c>
      <c r="B1" s="251"/>
      <c r="C1" s="251"/>
    </row>
    <row r="2" spans="1:4">
      <c r="A2" s="252" t="s">
        <v>514</v>
      </c>
      <c r="B2" s="254" t="s">
        <v>515</v>
      </c>
      <c r="C2" s="255"/>
    </row>
    <row r="3" spans="1:4">
      <c r="A3" s="253"/>
      <c r="B3" s="188" t="s">
        <v>516</v>
      </c>
      <c r="C3" s="187" t="s">
        <v>517</v>
      </c>
    </row>
    <row r="4" spans="1:4" ht="12.75" customHeight="1">
      <c r="A4" s="138" t="s">
        <v>214</v>
      </c>
      <c r="B4" s="139"/>
      <c r="C4" s="186"/>
    </row>
    <row r="5" spans="1:4">
      <c r="A5" s="204" t="s">
        <v>387</v>
      </c>
      <c r="B5" s="205">
        <v>823693</v>
      </c>
      <c r="C5" s="140">
        <f>B5/B43</f>
        <v>8.3735552724202855E-3</v>
      </c>
    </row>
    <row r="6" spans="1:4">
      <c r="A6" s="208" t="s">
        <v>518</v>
      </c>
      <c r="B6" s="209">
        <v>240000</v>
      </c>
      <c r="C6" s="140">
        <f>B6/B43</f>
        <v>2.439808600268387E-3</v>
      </c>
    </row>
    <row r="7" spans="1:4">
      <c r="A7" s="202" t="s">
        <v>21</v>
      </c>
      <c r="B7" s="206">
        <v>4122500</v>
      </c>
      <c r="C7" s="140">
        <f>B7/B43</f>
        <v>4.190879564419344E-2</v>
      </c>
    </row>
    <row r="8" spans="1:4">
      <c r="A8" s="204" t="s">
        <v>519</v>
      </c>
      <c r="B8" s="205">
        <v>194000</v>
      </c>
      <c r="C8" s="140">
        <f>B8/B43</f>
        <v>1.9721786185502794E-3</v>
      </c>
    </row>
    <row r="9" spans="1:4">
      <c r="A9" s="202" t="s">
        <v>274</v>
      </c>
      <c r="B9" s="206">
        <v>143537</v>
      </c>
      <c r="C9" s="140">
        <f>B9/B43</f>
        <v>1.4591783627363479E-3</v>
      </c>
    </row>
    <row r="10" spans="1:4">
      <c r="A10" s="198" t="s">
        <v>36</v>
      </c>
      <c r="B10" s="199">
        <v>622751</v>
      </c>
      <c r="C10" s="140">
        <f>B10/B43</f>
        <v>6.3308051901072434E-3</v>
      </c>
    </row>
    <row r="11" spans="1:4">
      <c r="A11" s="202" t="s">
        <v>45</v>
      </c>
      <c r="B11" s="206">
        <v>2380780</v>
      </c>
      <c r="C11" s="140">
        <f>B11/B43</f>
        <v>2.4202697997279043E-2</v>
      </c>
      <c r="D11" s="81"/>
    </row>
    <row r="12" spans="1:4">
      <c r="A12" s="202" t="s">
        <v>520</v>
      </c>
      <c r="B12" s="206">
        <v>423962</v>
      </c>
      <c r="C12" s="140">
        <f>B12/B43</f>
        <v>4.309942224112441E-3</v>
      </c>
      <c r="D12" s="81"/>
    </row>
    <row r="13" spans="1:4">
      <c r="A13" s="198" t="s">
        <v>61</v>
      </c>
      <c r="B13" s="199">
        <v>3500000</v>
      </c>
      <c r="C13" s="140">
        <f>B13/B43</f>
        <v>3.5580542087247313E-2</v>
      </c>
    </row>
    <row r="14" spans="1:4">
      <c r="A14" s="202" t="s">
        <v>74</v>
      </c>
      <c r="B14" s="203">
        <v>8068882</v>
      </c>
      <c r="C14" s="140">
        <f>B14/B43</f>
        <v>8.2027198742294929E-2</v>
      </c>
    </row>
    <row r="15" spans="1:4">
      <c r="A15" s="202" t="s">
        <v>80</v>
      </c>
      <c r="B15" s="203">
        <v>731429</v>
      </c>
      <c r="C15" s="140">
        <f>B15/B43</f>
        <v>7.4356115195237755E-3</v>
      </c>
    </row>
    <row r="16" spans="1:4">
      <c r="A16" s="202" t="s">
        <v>202</v>
      </c>
      <c r="B16" s="206">
        <v>4060062</v>
      </c>
      <c r="C16" s="140">
        <f>B16/B43</f>
        <v>4.1274059105095282E-2</v>
      </c>
    </row>
    <row r="17" spans="1:5">
      <c r="A17" s="198" t="s">
        <v>521</v>
      </c>
      <c r="B17" s="199">
        <v>186000</v>
      </c>
      <c r="C17" s="140">
        <f>B17/B43</f>
        <v>1.890851665208E-3</v>
      </c>
    </row>
    <row r="18" spans="1:5">
      <c r="A18" s="202" t="s">
        <v>522</v>
      </c>
      <c r="B18" s="206">
        <v>5192293</v>
      </c>
      <c r="C18" s="140">
        <f>B18/B43</f>
        <v>5.2784171318805605E-2</v>
      </c>
    </row>
    <row r="19" spans="1:5">
      <c r="A19" s="202" t="s">
        <v>523</v>
      </c>
      <c r="B19" s="206">
        <v>5865700</v>
      </c>
      <c r="C19" s="140">
        <f>B19/B43</f>
        <v>5.962993877747616E-2</v>
      </c>
    </row>
    <row r="20" spans="1:5">
      <c r="A20" s="198" t="s">
        <v>524</v>
      </c>
      <c r="B20" s="199">
        <v>6221263</v>
      </c>
      <c r="C20" s="140">
        <f>B20/B43</f>
        <v>6.3244545716381273E-2</v>
      </c>
    </row>
    <row r="21" spans="1:5">
      <c r="A21" s="204" t="s">
        <v>525</v>
      </c>
      <c r="B21" s="199">
        <v>336289</v>
      </c>
      <c r="C21" s="140">
        <f>B21/B43</f>
        <v>3.4186699765652319E-3</v>
      </c>
    </row>
    <row r="22" spans="1:5">
      <c r="A22" s="202" t="s">
        <v>526</v>
      </c>
      <c r="B22" s="206">
        <v>3474225</v>
      </c>
      <c r="C22" s="140">
        <f>B22/B43</f>
        <v>3.5318516809447656E-2</v>
      </c>
    </row>
    <row r="23" spans="1:5">
      <c r="A23" s="198" t="s">
        <v>527</v>
      </c>
      <c r="B23" s="199">
        <v>393252</v>
      </c>
      <c r="C23" s="140">
        <f>B23/B43</f>
        <v>3.9977483819697655E-3</v>
      </c>
    </row>
    <row r="24" spans="1:5">
      <c r="A24" s="200" t="s">
        <v>246</v>
      </c>
      <c r="B24" s="201">
        <v>255062</v>
      </c>
      <c r="C24" s="140">
        <f>B24/B43</f>
        <v>2.592926921673564E-3</v>
      </c>
      <c r="E24" s="81"/>
    </row>
    <row r="25" spans="1:5">
      <c r="A25" s="204" t="s">
        <v>528</v>
      </c>
      <c r="B25" s="199">
        <v>577044</v>
      </c>
      <c r="C25" s="140">
        <f>B25/B43</f>
        <v>5.8661538080552961E-3</v>
      </c>
    </row>
    <row r="26" spans="1:5">
      <c r="A26" s="198" t="s">
        <v>529</v>
      </c>
      <c r="B26" s="199">
        <v>185000</v>
      </c>
      <c r="C26" s="140">
        <f>B26/B43</f>
        <v>1.8806857960402151E-3</v>
      </c>
    </row>
    <row r="27" spans="1:5">
      <c r="A27" s="202" t="s">
        <v>474</v>
      </c>
      <c r="B27" s="206">
        <v>8485007</v>
      </c>
      <c r="C27" s="140">
        <f>B27/B43</f>
        <v>8.6257471049739437E-2</v>
      </c>
    </row>
    <row r="28" spans="1:5">
      <c r="A28" s="198" t="s">
        <v>530</v>
      </c>
      <c r="B28" s="199">
        <v>11946476</v>
      </c>
      <c r="C28" s="140">
        <f>B28/B43</f>
        <v>0.12144631203208284</v>
      </c>
    </row>
    <row r="29" spans="1:5">
      <c r="A29" s="204" t="s">
        <v>401</v>
      </c>
      <c r="B29" s="199">
        <v>160000</v>
      </c>
      <c r="C29" s="140">
        <f>B29/B43</f>
        <v>1.6265390668455913E-3</v>
      </c>
    </row>
    <row r="30" spans="1:5">
      <c r="A30" s="198" t="s">
        <v>374</v>
      </c>
      <c r="B30" s="199">
        <v>936310</v>
      </c>
      <c r="C30" s="140">
        <f>B30/B43</f>
        <v>9.5184049604887227E-3</v>
      </c>
    </row>
    <row r="31" spans="1:5">
      <c r="A31" s="198" t="s">
        <v>299</v>
      </c>
      <c r="B31" s="199">
        <v>238767</v>
      </c>
      <c r="C31" s="140">
        <f>B31/B43</f>
        <v>2.4272740835845083E-3</v>
      </c>
    </row>
    <row r="32" spans="1:5">
      <c r="A32" s="198" t="s">
        <v>531</v>
      </c>
      <c r="B32" s="199">
        <v>890231</v>
      </c>
      <c r="C32" s="140">
        <f>B32/B43</f>
        <v>9.049971875106361E-3</v>
      </c>
    </row>
    <row r="33" spans="1:6">
      <c r="A33" s="204" t="s">
        <v>532</v>
      </c>
      <c r="B33" s="199">
        <v>416640</v>
      </c>
      <c r="C33" s="140">
        <f>B33/B43</f>
        <v>4.2355077300659204E-3</v>
      </c>
      <c r="F33" s="141"/>
    </row>
    <row r="34" spans="1:6">
      <c r="A34" s="202" t="s">
        <v>150</v>
      </c>
      <c r="B34" s="206">
        <v>5730906</v>
      </c>
      <c r="C34" s="140">
        <f>B34/B43</f>
        <v>5.8259640608873751E-2</v>
      </c>
      <c r="F34" s="141"/>
    </row>
    <row r="35" spans="1:6">
      <c r="A35" s="198" t="s">
        <v>533</v>
      </c>
      <c r="B35" s="199">
        <v>697391</v>
      </c>
      <c r="C35" s="140">
        <f>B35/B43</f>
        <v>7.089585664790711E-3</v>
      </c>
      <c r="F35" s="141"/>
    </row>
    <row r="36" spans="1:6">
      <c r="A36" s="198" t="s">
        <v>317</v>
      </c>
      <c r="B36" s="199"/>
      <c r="C36" s="140">
        <f>B36/B43</f>
        <v>0</v>
      </c>
      <c r="F36" s="141"/>
    </row>
    <row r="37" spans="1:6">
      <c r="A37" s="202" t="s">
        <v>217</v>
      </c>
      <c r="B37" s="206">
        <v>2163635</v>
      </c>
      <c r="C37" s="140">
        <f>B37/B43</f>
        <v>2.1995230336840383E-2</v>
      </c>
      <c r="F37" s="141"/>
    </row>
    <row r="38" spans="1:6">
      <c r="A38" s="198" t="s">
        <v>153</v>
      </c>
      <c r="B38" s="199">
        <v>1669049</v>
      </c>
      <c r="C38" s="140">
        <f>B38/B43</f>
        <v>1.6967333768622295E-2</v>
      </c>
      <c r="F38" s="141"/>
    </row>
    <row r="39" spans="1:6">
      <c r="A39" s="202" t="s">
        <v>163</v>
      </c>
      <c r="B39" s="206">
        <v>6613488</v>
      </c>
      <c r="C39" s="140">
        <f>B39/B43</f>
        <v>6.7231853750715734E-2</v>
      </c>
      <c r="F39" s="141"/>
    </row>
    <row r="40" spans="1:6">
      <c r="A40" s="198" t="s">
        <v>534</v>
      </c>
      <c r="B40" s="199">
        <v>1422697</v>
      </c>
      <c r="C40" s="140">
        <f>B40/B43</f>
        <v>1.4462951567400139E-2</v>
      </c>
      <c r="F40" s="141"/>
    </row>
    <row r="41" spans="1:6">
      <c r="A41" s="202" t="s">
        <v>206</v>
      </c>
      <c r="B41" s="206">
        <v>1000051</v>
      </c>
      <c r="C41" s="140">
        <f>B41/B43</f>
        <v>1.0166387627112503E-2</v>
      </c>
      <c r="F41" s="141"/>
    </row>
    <row r="42" spans="1:6">
      <c r="A42" s="198" t="s">
        <v>183</v>
      </c>
      <c r="B42" s="199">
        <v>8000000</v>
      </c>
      <c r="C42" s="140">
        <f>B42/B43</f>
        <v>8.1326953342279573E-2</v>
      </c>
      <c r="F42" s="141"/>
    </row>
    <row r="43" spans="1:6">
      <c r="A43" s="142" t="s">
        <v>535</v>
      </c>
      <c r="B43" s="189">
        <f>SUM(B5:B42)</f>
        <v>98368372</v>
      </c>
      <c r="C43" s="190">
        <f>SUM(C5:C42)</f>
        <v>1</v>
      </c>
    </row>
  </sheetData>
  <sortState xmlns:xlrd2="http://schemas.microsoft.com/office/spreadsheetml/2017/richdata2" ref="A5:A42">
    <sortCondition ref="A5:A42"/>
  </sortState>
  <mergeCells count="3">
    <mergeCell ref="A1:C1"/>
    <mergeCell ref="A2:A3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571-3092-41CD-BA10-8D5C330CA778}">
  <sheetPr codeName="Hoja7"/>
  <dimension ref="A1:K10"/>
  <sheetViews>
    <sheetView zoomScale="110" zoomScaleNormal="110" workbookViewId="0">
      <selection activeCell="E18" sqref="E18"/>
    </sheetView>
  </sheetViews>
  <sheetFormatPr defaultColWidth="11.42578125" defaultRowHeight="14.25"/>
  <cols>
    <col min="1" max="1" width="3" customWidth="1"/>
    <col min="2" max="2" width="17.7109375" customWidth="1"/>
    <col min="3" max="3" width="15" customWidth="1"/>
    <col min="4" max="4" width="40.7109375" customWidth="1"/>
    <col min="5" max="5" width="21" customWidth="1"/>
    <col min="6" max="6" width="14" customWidth="1"/>
    <col min="7" max="7" width="13.28515625" customWidth="1"/>
    <col min="8" max="8" width="13.7109375" customWidth="1"/>
    <col min="9" max="9" width="9.5703125" customWidth="1"/>
  </cols>
  <sheetData>
    <row r="1" spans="1:11" s="54" customFormat="1" ht="21.75">
      <c r="A1" s="82"/>
      <c r="B1" s="241" t="s">
        <v>0</v>
      </c>
      <c r="C1" s="241"/>
      <c r="D1" s="241"/>
      <c r="E1" s="241"/>
      <c r="F1" s="241"/>
      <c r="G1" s="241"/>
      <c r="H1" s="241"/>
      <c r="I1" s="241"/>
      <c r="J1" s="82"/>
      <c r="K1" s="82"/>
    </row>
    <row r="2" spans="1:11" s="54" customFormat="1" ht="15.75" customHeight="1">
      <c r="A2" s="82"/>
      <c r="B2" s="221" t="s">
        <v>536</v>
      </c>
      <c r="C2" s="221"/>
      <c r="D2" s="221"/>
      <c r="E2" s="221"/>
      <c r="F2" s="221"/>
      <c r="G2" s="221"/>
      <c r="H2" s="221"/>
      <c r="I2" s="221"/>
      <c r="J2" s="82"/>
      <c r="K2" s="82"/>
    </row>
    <row r="3" spans="1:11" s="3" customFormat="1" ht="13.15">
      <c r="A3" s="107"/>
      <c r="B3" s="143" t="s">
        <v>2</v>
      </c>
      <c r="C3" s="59" t="s">
        <v>435</v>
      </c>
      <c r="D3" s="59" t="s">
        <v>4</v>
      </c>
      <c r="E3" s="59" t="s">
        <v>537</v>
      </c>
      <c r="F3" s="59" t="s">
        <v>538</v>
      </c>
      <c r="G3" s="59" t="s">
        <v>438</v>
      </c>
      <c r="H3" s="59" t="s">
        <v>439</v>
      </c>
      <c r="I3" s="59" t="s">
        <v>9</v>
      </c>
    </row>
    <row r="4" spans="1:11" s="41" customFormat="1" ht="13.15">
      <c r="A4" s="178"/>
      <c r="B4" s="256"/>
      <c r="C4" s="256"/>
      <c r="D4" s="256"/>
      <c r="E4" s="256"/>
      <c r="F4" s="256"/>
      <c r="G4" s="256"/>
      <c r="H4" s="256"/>
      <c r="I4" s="256"/>
      <c r="J4" s="82"/>
      <c r="K4" s="82"/>
    </row>
    <row r="5" spans="1:11" s="23" customFormat="1" ht="13.15">
      <c r="A5" s="171">
        <v>1</v>
      </c>
      <c r="B5" s="163" t="s">
        <v>18</v>
      </c>
      <c r="C5" s="101" t="s">
        <v>122</v>
      </c>
      <c r="D5" s="173" t="s">
        <v>539</v>
      </c>
      <c r="E5" s="163"/>
      <c r="F5" s="162" t="s">
        <v>540</v>
      </c>
      <c r="G5" s="164">
        <v>14901</v>
      </c>
      <c r="H5" s="164">
        <f t="shared" ref="H5:H8" si="0">G5*10.764</f>
        <v>160394.364</v>
      </c>
      <c r="I5" s="144">
        <v>2022</v>
      </c>
      <c r="J5" s="112"/>
      <c r="K5" s="113"/>
    </row>
    <row r="6" spans="1:11" s="23" customFormat="1" ht="13.15">
      <c r="A6" s="171">
        <v>2</v>
      </c>
      <c r="B6" s="165" t="s">
        <v>18</v>
      </c>
      <c r="C6" s="168" t="s">
        <v>122</v>
      </c>
      <c r="D6" s="168" t="s">
        <v>539</v>
      </c>
      <c r="E6" s="166"/>
      <c r="F6" s="167" t="s">
        <v>541</v>
      </c>
      <c r="G6" s="166">
        <v>14901</v>
      </c>
      <c r="H6" s="166">
        <f t="shared" si="0"/>
        <v>160394.364</v>
      </c>
      <c r="I6" s="144">
        <v>2022</v>
      </c>
    </row>
    <row r="7" spans="1:11" s="23" customFormat="1" ht="13.15">
      <c r="A7" s="171">
        <v>3</v>
      </c>
      <c r="B7" s="165" t="s">
        <v>18</v>
      </c>
      <c r="C7" s="168" t="s">
        <v>122</v>
      </c>
      <c r="D7" s="168" t="s">
        <v>539</v>
      </c>
      <c r="E7" s="166"/>
      <c r="F7" s="167" t="s">
        <v>542</v>
      </c>
      <c r="G7" s="166">
        <v>3295</v>
      </c>
      <c r="H7" s="166">
        <f t="shared" si="0"/>
        <v>35467.379999999997</v>
      </c>
      <c r="I7" s="144">
        <v>2022</v>
      </c>
    </row>
    <row r="8" spans="1:11" s="23" customFormat="1" ht="13.15">
      <c r="A8" s="171">
        <v>4</v>
      </c>
      <c r="B8" s="165" t="s">
        <v>18</v>
      </c>
      <c r="C8" s="168" t="s">
        <v>122</v>
      </c>
      <c r="D8" s="168" t="s">
        <v>539</v>
      </c>
      <c r="E8" s="166"/>
      <c r="F8" s="167" t="s">
        <v>543</v>
      </c>
      <c r="G8" s="166">
        <v>10443</v>
      </c>
      <c r="H8" s="166">
        <f t="shared" si="0"/>
        <v>112408.45199999999</v>
      </c>
      <c r="I8" s="144">
        <v>2022</v>
      </c>
    </row>
    <row r="9" spans="1:11" s="23" customFormat="1" ht="13.15">
      <c r="A9" s="171">
        <v>5</v>
      </c>
      <c r="B9" s="165" t="s">
        <v>314</v>
      </c>
      <c r="C9" s="168" t="s">
        <v>490</v>
      </c>
      <c r="D9" s="168" t="s">
        <v>544</v>
      </c>
      <c r="E9" s="166" t="s">
        <v>545</v>
      </c>
      <c r="F9" s="167"/>
      <c r="G9" s="166"/>
      <c r="H9" s="166"/>
      <c r="I9" s="88">
        <v>2021</v>
      </c>
    </row>
    <row r="10" spans="1:11" s="122" customFormat="1" ht="17.25">
      <c r="A10" s="145"/>
      <c r="B10" s="134"/>
      <c r="C10" s="134"/>
      <c r="D10" s="135"/>
      <c r="E10" s="136"/>
      <c r="F10" s="135" t="s">
        <v>353</v>
      </c>
      <c r="G10" s="136">
        <f>SUM(G5:G9)</f>
        <v>43540</v>
      </c>
      <c r="H10" s="136">
        <f>SUM(H5:H9)</f>
        <v>468664.56</v>
      </c>
      <c r="I10" s="146"/>
      <c r="J10" s="121"/>
      <c r="K10" s="12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ea6fe-52b8-4667-bb86-b2155c8c67e6">
      <Terms xmlns="http://schemas.microsoft.com/office/infopath/2007/PartnerControls"/>
    </lcf76f155ced4ddcb4097134ff3c332f>
    <TaxCatchAll xmlns="7952995f-2f24-4935-944c-2e29180cf73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D6A72E992D114C81A6EC0B8C99BA69" ma:contentTypeVersion="15" ma:contentTypeDescription="Crear nuevo documento." ma:contentTypeScope="" ma:versionID="09ee94784c981be3323ac3fbeddfff7d">
  <xsd:schema xmlns:xsd="http://www.w3.org/2001/XMLSchema" xmlns:xs="http://www.w3.org/2001/XMLSchema" xmlns:p="http://schemas.microsoft.com/office/2006/metadata/properties" xmlns:ns2="3edea6fe-52b8-4667-bb86-b2155c8c67e6" xmlns:ns3="7952995f-2f24-4935-944c-2e29180cf736" xmlns:ns4="16b13a6f-7497-445e-a153-7e63321f2fc2" targetNamespace="http://schemas.microsoft.com/office/2006/metadata/properties" ma:root="true" ma:fieldsID="5021330a093b1c5a1c61cacae0c5fad1" ns2:_="" ns3:_="" ns4:_="">
    <xsd:import namespace="3edea6fe-52b8-4667-bb86-b2155c8c67e6"/>
    <xsd:import namespace="7952995f-2f24-4935-944c-2e29180cf736"/>
    <xsd:import namespace="16b13a6f-7497-445e-a153-7e63321f2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ea6fe-52b8-4667-bb86-b2155c8c6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c01750-6c40-40dc-ac3d-8fd2a3d7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2995f-2f24-4935-944c-2e29180cf73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59de30-0ff1-469a-a8f1-5b30aa49166a}" ma:internalName="TaxCatchAll" ma:showField="CatchAllData" ma:web="7952995f-2f24-4935-944c-2e29180cf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13a6f-7497-445e-a153-7e63321f2fc2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79F4E2-1ACA-484F-A7C5-313A7F15004D}"/>
</file>

<file path=customXml/itemProps2.xml><?xml version="1.0" encoding="utf-8"?>
<ds:datastoreItem xmlns:ds="http://schemas.openxmlformats.org/officeDocument/2006/customXml" ds:itemID="{281930EB-5C31-423D-AFD5-51E6A13CD599}"/>
</file>

<file path=customXml/itemProps3.xml><?xml version="1.0" encoding="utf-8"?>
<ds:datastoreItem xmlns:ds="http://schemas.openxmlformats.org/officeDocument/2006/customXml" ds:itemID="{A3729921-73BA-4051-BB08-70876181A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Enríquez Guajardo</dc:creator>
  <cp:keywords/>
  <dc:description/>
  <cp:lastModifiedBy>Alejandra Enríquez Guajardo</cp:lastModifiedBy>
  <cp:revision/>
  <dcterms:created xsi:type="dcterms:W3CDTF">2019-02-20T18:21:22Z</dcterms:created>
  <dcterms:modified xsi:type="dcterms:W3CDTF">2025-03-04T16:54:20Z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0x010100F6D6A72E992D114C81A6EC0B8C99BA69</vt:lpwstr>
  </property>
  <property fmtid="{D5CDD505-2E9C-101B-9397-08002B2CF9AE}" pid="3" name="MediaServiceImageTags">
    <vt:lpwstr/>
  </property>
</Properties>
</file>