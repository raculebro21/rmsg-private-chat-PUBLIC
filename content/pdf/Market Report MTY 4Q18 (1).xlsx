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americas.sharepoint.com/sites/WorkSpaces/marketing/Market Reports/2018/"/>
    </mc:Choice>
  </mc:AlternateContent>
  <xr:revisionPtr revIDLastSave="14" documentId="13_ncr:1_{6B6444F9-FC79-406F-A598-D909856FC742}" xr6:coauthVersionLast="47" xr6:coauthVersionMax="47" xr10:uidLastSave="{521DC70F-0E4A-4613-A03B-593BCB92C747}"/>
  <bookViews>
    <workbookView xWindow="-120" yWindow="-120" windowWidth="20730" windowHeight="11160" xr2:uid="{00000000-000D-0000-FFFF-FFFF00000000}"/>
  </bookViews>
  <sheets>
    <sheet name="DONE DEALS" sheetId="1" r:id="rId1"/>
    <sheet name="AVAILABLE" sheetId="2" r:id="rId2"/>
    <sheet name="UNDER CONSTRUCTION" sheetId="3" r:id="rId3"/>
    <sheet name="PRIVATE OWNERS" sheetId="4" r:id="rId4"/>
    <sheet name="LAND" sheetId="5" r:id="rId5"/>
    <sheet name="MARKET SHARE" sheetId="6" r:id="rId6"/>
    <sheet name="PROYECTOS FUTUROS" sheetId="7" r:id="rId7"/>
  </sheets>
  <definedNames>
    <definedName name="_xlnm._FilterDatabase" localSheetId="1" hidden="1">AVAILABLE!$A$4:$K$101</definedName>
    <definedName name="_xlnm._FilterDatabase" localSheetId="0" hidden="1">'DONE DEALS'!$A$4:$Q$98</definedName>
    <definedName name="_xlnm._FilterDatabase" localSheetId="2" hidden="1">'UNDER CONSTRUCTION'!$A$4:$I$4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1" l="1"/>
  <c r="F83" i="1"/>
  <c r="G64" i="1" l="1"/>
  <c r="G47" i="1"/>
  <c r="G52" i="1"/>
  <c r="F35" i="3"/>
  <c r="G36" i="3"/>
  <c r="F50" i="1"/>
  <c r="F51" i="1"/>
  <c r="F85" i="1" l="1"/>
  <c r="G10" i="4"/>
  <c r="F31" i="3" l="1"/>
  <c r="F38" i="1"/>
  <c r="F34" i="3"/>
  <c r="F36" i="3" s="1"/>
  <c r="G11" i="3" l="1"/>
  <c r="I53" i="2"/>
  <c r="F74" i="2"/>
  <c r="G74" i="2"/>
  <c r="I89" i="2"/>
  <c r="F77" i="2"/>
  <c r="G77" i="2"/>
  <c r="I100" i="2" l="1"/>
  <c r="F99" i="2"/>
  <c r="G99" i="2"/>
  <c r="F94" i="2"/>
  <c r="G94" i="2"/>
  <c r="F19" i="2"/>
  <c r="G19" i="2"/>
  <c r="I95" i="2"/>
  <c r="I41" i="2"/>
  <c r="G40" i="2"/>
  <c r="F40" i="2"/>
  <c r="G24" i="2"/>
  <c r="F24" i="2"/>
  <c r="G23" i="2"/>
  <c r="F23" i="2"/>
  <c r="F9" i="3"/>
  <c r="F20" i="1" l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9" i="1"/>
  <c r="F40" i="1"/>
  <c r="F41" i="1"/>
  <c r="F42" i="1"/>
  <c r="F43" i="1"/>
  <c r="F44" i="1"/>
  <c r="F45" i="1"/>
  <c r="F46" i="1"/>
  <c r="F10" i="1"/>
  <c r="F80" i="2"/>
  <c r="G80" i="2"/>
  <c r="F10" i="3" l="1"/>
  <c r="G69" i="1" l="1"/>
  <c r="G75" i="1" s="1"/>
  <c r="F47" i="1" l="1"/>
  <c r="G36" i="2"/>
  <c r="F36" i="2"/>
  <c r="G35" i="2"/>
  <c r="F35" i="2"/>
  <c r="F92" i="1"/>
  <c r="F68" i="1" l="1"/>
  <c r="F8" i="2" l="1"/>
  <c r="G8" i="2"/>
  <c r="F7" i="1" l="1"/>
  <c r="F6" i="1"/>
  <c r="F12" i="1" l="1"/>
  <c r="H15" i="4"/>
  <c r="F15" i="4"/>
  <c r="F74" i="1"/>
  <c r="F96" i="1" l="1"/>
  <c r="G14" i="4" l="1"/>
  <c r="G13" i="4"/>
  <c r="F83" i="2" l="1"/>
  <c r="G83" i="2"/>
  <c r="F90" i="1"/>
  <c r="F16" i="1"/>
  <c r="G11" i="4" l="1"/>
  <c r="G14" i="7" l="1"/>
  <c r="G10" i="7"/>
  <c r="H9" i="7"/>
  <c r="H8" i="7"/>
  <c r="H7" i="7"/>
  <c r="H6" i="7"/>
  <c r="G5" i="7"/>
  <c r="F33" i="6"/>
  <c r="D33" i="6" s="1"/>
  <c r="H32" i="6"/>
  <c r="F32" i="6" s="1"/>
  <c r="H31" i="6"/>
  <c r="F31" i="6" s="1"/>
  <c r="D31" i="6" s="1"/>
  <c r="J30" i="6"/>
  <c r="J36" i="6" s="1"/>
  <c r="H29" i="6"/>
  <c r="F29" i="6"/>
  <c r="D29" i="6"/>
  <c r="H28" i="6"/>
  <c r="H25" i="6"/>
  <c r="H23" i="6"/>
  <c r="F23" i="6" s="1"/>
  <c r="D23" i="6" s="1"/>
  <c r="H20" i="6"/>
  <c r="F20" i="6"/>
  <c r="D20" i="6" s="1"/>
  <c r="H19" i="6"/>
  <c r="F19" i="6" s="1"/>
  <c r="D19" i="6" s="1"/>
  <c r="H16" i="6"/>
  <c r="F16" i="6"/>
  <c r="D16" i="6" s="1"/>
  <c r="H15" i="6"/>
  <c r="F15" i="6" s="1"/>
  <c r="D15" i="6" s="1"/>
  <c r="H14" i="6"/>
  <c r="H12" i="6"/>
  <c r="F12" i="6" s="1"/>
  <c r="H10" i="6"/>
  <c r="H9" i="6"/>
  <c r="H8" i="6"/>
  <c r="H7" i="6"/>
  <c r="H5" i="6"/>
  <c r="H15" i="7" l="1"/>
  <c r="G15" i="7"/>
  <c r="B16" i="6"/>
  <c r="F7" i="6"/>
  <c r="B19" i="6"/>
  <c r="B20" i="6"/>
  <c r="B31" i="6"/>
  <c r="H30" i="6"/>
  <c r="D32" i="6"/>
  <c r="D7" i="6" l="1"/>
  <c r="F30" i="6"/>
  <c r="F36" i="6" s="1"/>
  <c r="H36" i="6"/>
  <c r="G28" i="6" l="1"/>
  <c r="G27" i="6"/>
  <c r="G26" i="6"/>
  <c r="G22" i="6"/>
  <c r="G21" i="6"/>
  <c r="G18" i="6"/>
  <c r="G17" i="6"/>
  <c r="G14" i="6"/>
  <c r="G11" i="6"/>
  <c r="G5" i="6"/>
  <c r="G33" i="6"/>
  <c r="G25" i="6"/>
  <c r="G24" i="6"/>
  <c r="G10" i="6"/>
  <c r="G9" i="6"/>
  <c r="G34" i="6"/>
  <c r="G6" i="6"/>
  <c r="G8" i="6"/>
  <c r="G23" i="6"/>
  <c r="G19" i="6"/>
  <c r="G12" i="6"/>
  <c r="G29" i="6"/>
  <c r="G31" i="6"/>
  <c r="G20" i="6"/>
  <c r="G32" i="6"/>
  <c r="G15" i="6"/>
  <c r="G16" i="6"/>
  <c r="G7" i="6"/>
  <c r="I24" i="6"/>
  <c r="I33" i="6"/>
  <c r="I6" i="6"/>
  <c r="I29" i="6"/>
  <c r="I25" i="6"/>
  <c r="I22" i="6"/>
  <c r="I20" i="6"/>
  <c r="I19" i="6"/>
  <c r="I18" i="6"/>
  <c r="I16" i="6"/>
  <c r="I15" i="6"/>
  <c r="I10" i="6"/>
  <c r="I34" i="6"/>
  <c r="I31" i="6"/>
  <c r="I27" i="6"/>
  <c r="I26" i="6"/>
  <c r="I21" i="6"/>
  <c r="I17" i="6"/>
  <c r="I11" i="6"/>
  <c r="I7" i="6"/>
  <c r="I23" i="6"/>
  <c r="I28" i="6"/>
  <c r="I9" i="6"/>
  <c r="I5" i="6"/>
  <c r="I32" i="6"/>
  <c r="I8" i="6"/>
  <c r="I12" i="6"/>
  <c r="I14" i="6"/>
  <c r="I30" i="6"/>
  <c r="B7" i="6"/>
  <c r="G30" i="6"/>
  <c r="D30" i="6"/>
  <c r="D36" i="6" s="1"/>
  <c r="I36" i="6" l="1"/>
  <c r="E34" i="6"/>
  <c r="E8" i="6"/>
  <c r="E6" i="6"/>
  <c r="E25" i="6"/>
  <c r="E28" i="6"/>
  <c r="E27" i="6"/>
  <c r="E26" i="6"/>
  <c r="E22" i="6"/>
  <c r="E21" i="6"/>
  <c r="E18" i="6"/>
  <c r="E17" i="6"/>
  <c r="E14" i="6"/>
  <c r="E12" i="6"/>
  <c r="E11" i="6"/>
  <c r="E5" i="6"/>
  <c r="E24" i="6"/>
  <c r="E10" i="6"/>
  <c r="E29" i="6"/>
  <c r="E13" i="6"/>
  <c r="E9" i="6"/>
  <c r="E19" i="6"/>
  <c r="E20" i="6"/>
  <c r="E16" i="6"/>
  <c r="E33" i="6"/>
  <c r="E15" i="6"/>
  <c r="E23" i="6"/>
  <c r="E31" i="6"/>
  <c r="E32" i="6"/>
  <c r="E7" i="6"/>
  <c r="B36" i="6"/>
  <c r="C7" i="6"/>
  <c r="G36" i="6"/>
  <c r="E30" i="6"/>
  <c r="E36" i="6" l="1"/>
  <c r="C13" i="6"/>
  <c r="C9" i="6"/>
  <c r="C27" i="6"/>
  <c r="C24" i="6"/>
  <c r="C35" i="6"/>
  <c r="C34" i="6"/>
  <c r="C29" i="6"/>
  <c r="C15" i="6"/>
  <c r="C8" i="6"/>
  <c r="C6" i="6"/>
  <c r="C32" i="6"/>
  <c r="C30" i="6"/>
  <c r="C28" i="6"/>
  <c r="C26" i="6"/>
  <c r="C23" i="6"/>
  <c r="C22" i="6"/>
  <c r="C21" i="6"/>
  <c r="C18" i="6"/>
  <c r="C17" i="6"/>
  <c r="C14" i="6"/>
  <c r="C12" i="6"/>
  <c r="C11" i="6"/>
  <c r="C5" i="6"/>
  <c r="C36" i="6" s="1"/>
  <c r="C33" i="6"/>
  <c r="C25" i="6"/>
  <c r="C10" i="6"/>
  <c r="C19" i="6"/>
  <c r="C20" i="6"/>
  <c r="C31" i="6"/>
  <c r="C16" i="6"/>
  <c r="G33" i="2" l="1"/>
  <c r="F33" i="2"/>
  <c r="G17" i="2"/>
  <c r="F17" i="2"/>
  <c r="F8" i="1"/>
  <c r="F61" i="2" l="1"/>
  <c r="G61" i="2"/>
  <c r="I59" i="2" l="1"/>
  <c r="G14" i="3"/>
  <c r="G85" i="2"/>
  <c r="F85" i="2"/>
  <c r="G11" i="2"/>
  <c r="F11" i="2"/>
  <c r="F58" i="1"/>
  <c r="F49" i="1" l="1"/>
  <c r="F52" i="1" s="1"/>
  <c r="G43" i="2"/>
  <c r="F43" i="2"/>
  <c r="F17" i="1" l="1"/>
  <c r="F11" i="1" l="1"/>
  <c r="F84" i="1" l="1"/>
  <c r="F62" i="1" l="1"/>
  <c r="F61" i="1"/>
  <c r="F15" i="1" l="1"/>
  <c r="F70" i="1" l="1"/>
  <c r="G52" i="2"/>
  <c r="G84" i="2" l="1"/>
  <c r="F84" i="2"/>
  <c r="F13" i="3"/>
  <c r="F73" i="1"/>
  <c r="F67" i="1"/>
  <c r="F64" i="2" l="1"/>
  <c r="G64" i="2"/>
  <c r="F30" i="2" l="1"/>
  <c r="G30" i="2"/>
  <c r="F93" i="1" l="1"/>
  <c r="F77" i="1"/>
  <c r="F72" i="1" l="1"/>
  <c r="G9" i="4" l="1"/>
  <c r="G8" i="4"/>
  <c r="F73" i="2"/>
  <c r="G73" i="2"/>
  <c r="G93" i="2"/>
  <c r="F93" i="2"/>
  <c r="F91" i="1" l="1"/>
  <c r="F63" i="1"/>
  <c r="F57" i="1" l="1"/>
  <c r="F18" i="1"/>
  <c r="G44" i="2" l="1"/>
  <c r="F44" i="2"/>
  <c r="G23" i="3" l="1"/>
  <c r="F23" i="3"/>
  <c r="G39" i="2"/>
  <c r="F39" i="2"/>
  <c r="G26" i="3"/>
  <c r="G17" i="3"/>
  <c r="G63" i="2"/>
  <c r="F63" i="2"/>
  <c r="F71" i="1"/>
  <c r="F89" i="1" l="1"/>
  <c r="F94" i="1" s="1"/>
  <c r="F60" i="1"/>
  <c r="F6" i="3" l="1"/>
  <c r="F14" i="1" l="1"/>
  <c r="G88" i="2" l="1"/>
  <c r="F88" i="2"/>
  <c r="G38" i="2"/>
  <c r="F38" i="2"/>
  <c r="F14" i="3" l="1"/>
  <c r="F91" i="2"/>
  <c r="G91" i="2"/>
  <c r="F13" i="1" l="1"/>
  <c r="F8" i="3" l="1"/>
  <c r="G6" i="4" l="1"/>
  <c r="F80" i="1" l="1"/>
  <c r="G18" i="2" l="1"/>
  <c r="F18" i="2" l="1"/>
  <c r="F66" i="1" l="1"/>
  <c r="F75" i="1" s="1"/>
  <c r="G16" i="2" l="1"/>
  <c r="F16" i="2"/>
  <c r="F98" i="2"/>
  <c r="F97" i="2"/>
  <c r="G98" i="2"/>
  <c r="G97" i="2"/>
  <c r="F13" i="2" l="1"/>
  <c r="G13" i="2"/>
  <c r="F7" i="3"/>
  <c r="F11" i="3" l="1"/>
  <c r="F59" i="1" l="1"/>
  <c r="F64" i="1" s="1"/>
  <c r="F17" i="3"/>
  <c r="F9" i="1" l="1"/>
  <c r="G97" i="1" l="1"/>
  <c r="G78" i="1"/>
  <c r="G15" i="2"/>
  <c r="F15" i="2"/>
  <c r="G20" i="2"/>
  <c r="F20" i="2"/>
  <c r="G10" i="2"/>
  <c r="F10" i="2"/>
  <c r="G9" i="2"/>
  <c r="F9" i="2"/>
  <c r="G21" i="2" l="1"/>
  <c r="F21" i="2"/>
  <c r="F67" i="2" l="1"/>
  <c r="G67" i="2"/>
  <c r="F7" i="2" l="1"/>
  <c r="G7" i="2"/>
  <c r="G48" i="2"/>
  <c r="F48" i="2"/>
  <c r="F47" i="2"/>
  <c r="G47" i="2"/>
  <c r="F46" i="2" l="1"/>
  <c r="G46" i="2"/>
  <c r="G20" i="3" l="1"/>
  <c r="F14" i="2" l="1"/>
  <c r="G14" i="2"/>
  <c r="I71" i="2" l="1"/>
  <c r="F19" i="3"/>
  <c r="F20" i="3" s="1"/>
  <c r="G92" i="2"/>
  <c r="F92" i="2"/>
  <c r="G22" i="2"/>
  <c r="F22" i="2"/>
  <c r="F12" i="2"/>
  <c r="G12" i="2"/>
  <c r="F6" i="2"/>
  <c r="G6" i="2"/>
  <c r="F97" i="1" l="1"/>
  <c r="G34" i="2"/>
  <c r="F34" i="2"/>
  <c r="F50" i="2" l="1"/>
  <c r="F51" i="2"/>
  <c r="F52" i="2"/>
  <c r="G50" i="2"/>
  <c r="G51" i="2"/>
  <c r="G87" i="2"/>
  <c r="F87" i="2"/>
  <c r="F26" i="2" l="1"/>
  <c r="F27" i="2"/>
  <c r="F28" i="2"/>
  <c r="F29" i="2"/>
  <c r="F25" i="2"/>
  <c r="G26" i="2"/>
  <c r="G27" i="2"/>
  <c r="G28" i="2"/>
  <c r="G29" i="2"/>
  <c r="G25" i="2"/>
  <c r="F58" i="2" l="1"/>
  <c r="G58" i="2"/>
  <c r="G86" i="2" l="1"/>
  <c r="F86" i="2"/>
  <c r="F78" i="1"/>
  <c r="G81" i="1" l="1"/>
  <c r="G55" i="1"/>
  <c r="G98" i="1" l="1"/>
  <c r="F81" i="1"/>
  <c r="F55" i="1"/>
  <c r="G32" i="3"/>
  <c r="F32" i="3"/>
  <c r="F26" i="3"/>
  <c r="G82" i="2"/>
  <c r="F82" i="2"/>
  <c r="G81" i="2"/>
  <c r="F81" i="2"/>
  <c r="G79" i="2"/>
  <c r="F79" i="2"/>
  <c r="G78" i="2"/>
  <c r="F78" i="2"/>
  <c r="I75" i="2"/>
  <c r="G66" i="2"/>
  <c r="F66" i="2"/>
  <c r="I65" i="2"/>
  <c r="I68" i="2" s="1"/>
  <c r="F65" i="2"/>
  <c r="G62" i="2"/>
  <c r="F62" i="2"/>
  <c r="G57" i="2"/>
  <c r="F57" i="2"/>
  <c r="G56" i="2"/>
  <c r="F56" i="2"/>
  <c r="G55" i="2"/>
  <c r="F55" i="2"/>
  <c r="G49" i="2"/>
  <c r="F49" i="2"/>
  <c r="G45" i="2"/>
  <c r="F45" i="2"/>
  <c r="G32" i="2"/>
  <c r="F32" i="2"/>
  <c r="G31" i="2"/>
  <c r="F31" i="2"/>
  <c r="I101" i="2" l="1"/>
  <c r="F98" i="1"/>
  <c r="F29" i="3"/>
  <c r="F37" i="3" s="1"/>
  <c r="G65" i="2"/>
  <c r="G29" i="3"/>
  <c r="G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Hernandez</author>
  </authors>
  <commentList>
    <comment ref="L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Logistica
Distribucion
Manufactura
</t>
        </r>
      </text>
    </comment>
    <comment ref="M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Nuevo
Expansion
Relocalizacion
varias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Martha Alejandra Enríquez Guajardo</author>
    <author>Alejandra Enríquez Guajardo</author>
    <author>Alicia Plancarte Rodriguez</author>
  </authors>
  <commentList>
    <comment ref="I9" authorId="0" shapeId="0" xr:uid="{45533049-E72B-4D94-B2F9-6F338CBF82E2}">
      <text>
        <r>
          <rPr>
            <b/>
            <sz val="9"/>
            <color indexed="81"/>
            <rFont val="Tahoma"/>
            <family val="2"/>
          </rPr>
          <t>Martha Alejandra Enríquez Guajardo:
Cierre con Sambo Motors 30,130 sf</t>
        </r>
      </text>
    </comment>
    <comment ref="I12" authorId="0" shapeId="0" xr:uid="{C553CD90-C4FB-4D91-96DB-9481F6DB55C8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Cerraron 129,107sf con Pantos.</t>
        </r>
      </text>
    </comment>
    <comment ref="I14" authorId="1" shapeId="0" xr:uid="{5D426ED3-0EDE-4591-B1CD-2E4B46EDFBBB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Rosenberger 43,056 sf</t>
        </r>
      </text>
    </comment>
    <comment ref="I22" authorId="1" shapeId="0" xr:uid="{D286D8F2-14C8-4E7A-81D7-78DD07816A53}">
      <text>
        <r>
          <rPr>
            <b/>
            <sz val="9"/>
            <color indexed="81"/>
            <rFont val="Tahoma"/>
            <family val="2"/>
          </rPr>
          <t>Alejandra Enríquez Guajardo
Tempel: 62,500 sf</t>
        </r>
      </text>
    </comment>
    <comment ref="I3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Basicos Partes y Acabados 82,500</t>
        </r>
      </text>
    </comment>
    <comment ref="I32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Galo Shipping 42,000 ft mes a mes
Se rentaron 102,150 ft a DHL
Galo Shipping expansión 26,500 ft</t>
        </r>
      </text>
    </comment>
    <comment ref="I34" authorId="0" shapeId="0" xr:uid="{7C464E6C-A945-4713-A755-2716A6FD97C5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Cerró 46,922 sf con Iparmold
Cerró 36,331 sf con Aurora</t>
        </r>
      </text>
    </comment>
    <comment ref="I44" authorId="0" shapeId="0" xr:uid="{2D88A4DC-5CAE-44A6-A397-18C420B4776E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50,917 sf Paulo</t>
        </r>
      </text>
    </comment>
    <comment ref="I55" authorId="0" shapeId="0" xr:uid="{D2BCB9F2-6B1E-4B49-837C-696FADF56BCC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19,698 sf Seccion 5 Confidencial</t>
        </r>
      </text>
    </comment>
    <comment ref="I5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33,713 sf - Mexflex Logistics
16,744 SF - Novacel
Excel del Norte 33,712 sf</t>
        </r>
      </text>
    </comment>
    <comment ref="I57" authorId="1" shapeId="0" xr:uid="{63F2E014-20C3-4165-AA2D-51AF889DEA22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Cierre con Sodisa 50,450 sf</t>
        </r>
      </text>
    </comment>
    <comment ref="I70" authorId="0" shapeId="0" xr:uid="{6D23E700-37F9-4D32-949A-56889A197A98}">
      <text>
        <r>
          <rPr>
            <b/>
            <sz val="9"/>
            <color indexed="81"/>
            <rFont val="Tahoma"/>
            <family val="2"/>
          </rPr>
          <t>Martha Alejandra Enríquez Guajardo
Confidencial cerró 35,112 sf</t>
        </r>
      </text>
    </comment>
    <comment ref="I79" authorId="2" shapeId="0" xr:uid="{00000000-0006-0000-0100-00000B000000}">
      <text>
        <r>
          <rPr>
            <sz val="9"/>
            <color indexed="81"/>
            <rFont val="Tahoma"/>
            <family val="2"/>
          </rPr>
          <t>66,015 fts (6,133 mts) confidencial, con un brokers independientes. 
66,213 ft  - Symphony
44,681 ft - Confidencial</t>
        </r>
      </text>
    </comment>
    <comment ref="I81" authorId="2" shapeId="0" xr:uid="{00000000-0006-0000-0100-00000D000000}">
      <text>
        <r>
          <rPr>
            <sz val="9"/>
            <color indexed="81"/>
            <rFont val="Tahoma"/>
            <family val="2"/>
          </rPr>
          <t xml:space="preserve">Los edifiico  de Odonnell de Guadalupe  lo comparon la compañía de IGS (Lachlan Eleing) 
</t>
        </r>
      </text>
    </comment>
    <comment ref="I84" authorId="1" shapeId="0" xr:uid="{E57AADC4-43CC-4E31-9043-9027023A0891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Maysteel HL3A 30,100sf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Hernandez</author>
  </authors>
  <commentList>
    <comment ref="H23" authorId="0" shapeId="0" xr:uid="{5CF05FDD-687D-4A7E-9958-1367EEEE8219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Whirlpool - CPA
</t>
        </r>
      </text>
    </comment>
    <comment ref="H31" authorId="0" shapeId="0" xr:uid="{B0C1BE5B-7711-4654-AB1B-4E8409BD446E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Gutner+caterpillar
</t>
        </r>
      </text>
    </comment>
    <comment ref="J31" authorId="0" shapeId="0" xr:uid="{EB4E8529-868D-40AD-AAA0-9EE6306AF808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GBOX-70K
MULTI - 200K
BONAFONT - 80K
DANONE - 40K</t>
        </r>
      </text>
    </comment>
  </commentList>
</comments>
</file>

<file path=xl/sharedStrings.xml><?xml version="1.0" encoding="utf-8"?>
<sst xmlns="http://schemas.openxmlformats.org/spreadsheetml/2006/main" count="1646" uniqueCount="533">
  <si>
    <t>MONTERREY MARKET REPORT</t>
  </si>
  <si>
    <t>DONE DEALS 2018</t>
  </si>
  <si>
    <t>SUBMERCADO</t>
  </si>
  <si>
    <t>INQUILINO</t>
  </si>
  <si>
    <t>UBICACIÓN / PARQUE IND</t>
  </si>
  <si>
    <t>DUEÑO</t>
  </si>
  <si>
    <t>S.M.</t>
  </si>
  <si>
    <t>S.F.</t>
  </si>
  <si>
    <t>BTS/ INVENTORY</t>
  </si>
  <si>
    <t>CIERRE</t>
  </si>
  <si>
    <t>BROKER</t>
  </si>
  <si>
    <t>PLAZO</t>
  </si>
  <si>
    <t>TIPO DE NEGOCIO</t>
  </si>
  <si>
    <t>INFORMACION ADICIONAL</t>
  </si>
  <si>
    <t>MONEDA</t>
  </si>
  <si>
    <t>CLASS</t>
  </si>
  <si>
    <t>CAM</t>
  </si>
  <si>
    <t>APODACA</t>
  </si>
  <si>
    <t>Apodaca</t>
  </si>
  <si>
    <t>Dometic</t>
  </si>
  <si>
    <t>Regioparque Industrial Park</t>
  </si>
  <si>
    <t>American Industries</t>
  </si>
  <si>
    <t>Inventario ESAB</t>
  </si>
  <si>
    <t>Dic</t>
  </si>
  <si>
    <t>Directo</t>
  </si>
  <si>
    <t>6m</t>
  </si>
  <si>
    <t>Manufactura</t>
  </si>
  <si>
    <t>Nuevo</t>
  </si>
  <si>
    <t>DLLS</t>
  </si>
  <si>
    <t>A</t>
  </si>
  <si>
    <t>Parque American Industries</t>
  </si>
  <si>
    <t>Inventory III - BTS</t>
  </si>
  <si>
    <t>MFG</t>
  </si>
  <si>
    <t>La Silla Industrial Park</t>
  </si>
  <si>
    <t>Amistad / PGIM</t>
  </si>
  <si>
    <t>Spec</t>
  </si>
  <si>
    <t>Sep</t>
  </si>
  <si>
    <t>Expansión</t>
  </si>
  <si>
    <t>B</t>
  </si>
  <si>
    <t>Ceva</t>
  </si>
  <si>
    <t>Apodaca Technology Park</t>
  </si>
  <si>
    <t>CPA</t>
  </si>
  <si>
    <t>ATP-B017</t>
  </si>
  <si>
    <t>Ene</t>
  </si>
  <si>
    <t>CBRE</t>
  </si>
  <si>
    <t>Logístico</t>
  </si>
  <si>
    <t>Rosenberger</t>
  </si>
  <si>
    <t>Milenium Innova</t>
  </si>
  <si>
    <t>Coexsa</t>
  </si>
  <si>
    <t>Innova 3</t>
  </si>
  <si>
    <t>Nov</t>
  </si>
  <si>
    <t>Nuevo / Empresa alemana</t>
  </si>
  <si>
    <t>Metalsa</t>
  </si>
  <si>
    <t>Regioparque</t>
  </si>
  <si>
    <t>Fibra Macquarie</t>
  </si>
  <si>
    <t>MTY-17</t>
  </si>
  <si>
    <t>Nuevo/ Empresa mexicana de metal</t>
  </si>
  <si>
    <t>Autotracciones</t>
  </si>
  <si>
    <t>Flex Park</t>
  </si>
  <si>
    <t>G Industrial</t>
  </si>
  <si>
    <t>Lote 10</t>
  </si>
  <si>
    <t>Select</t>
  </si>
  <si>
    <t>MXN</t>
  </si>
  <si>
    <t>Sepsa</t>
  </si>
  <si>
    <t>GDS Business Park</t>
  </si>
  <si>
    <t>Galvacid</t>
  </si>
  <si>
    <t>Spec 1</t>
  </si>
  <si>
    <t>Mar</t>
  </si>
  <si>
    <t>GE</t>
  </si>
  <si>
    <t>Apodaca Industrial Park II</t>
  </si>
  <si>
    <t xml:space="preserve">GP </t>
  </si>
  <si>
    <t>MT-01</t>
  </si>
  <si>
    <t>Abr</t>
  </si>
  <si>
    <t>Manufactura / Almacen</t>
  </si>
  <si>
    <t>Tempel</t>
  </si>
  <si>
    <t>Apodaca Industrial Park I</t>
  </si>
  <si>
    <t>Citius Capital</t>
  </si>
  <si>
    <t>Almacen</t>
  </si>
  <si>
    <t>Sungwoo</t>
  </si>
  <si>
    <t>Stand Alone</t>
  </si>
  <si>
    <t>BTS</t>
  </si>
  <si>
    <t>Automotriz</t>
  </si>
  <si>
    <t>Empaques y Embalajes Ecológicos</t>
  </si>
  <si>
    <t>El Sabinal Industrial Park</t>
  </si>
  <si>
    <t>Inmobiliaria Cumbres</t>
  </si>
  <si>
    <t>SIP 4</t>
  </si>
  <si>
    <t>C</t>
  </si>
  <si>
    <t>Nave 12</t>
  </si>
  <si>
    <t>Jun</t>
  </si>
  <si>
    <t>New Process Steel</t>
  </si>
  <si>
    <t>PIS 3</t>
  </si>
  <si>
    <t>Ago</t>
  </si>
  <si>
    <t>Grupo Premier</t>
  </si>
  <si>
    <t>Kalos Encarnación</t>
  </si>
  <si>
    <t>Kalos</t>
  </si>
  <si>
    <t>KE Edificio 1 sec. 11</t>
  </si>
  <si>
    <t>Feb</t>
  </si>
  <si>
    <t>Corredor Independiente</t>
  </si>
  <si>
    <t>Reubicación / Nuevo en el parque</t>
  </si>
  <si>
    <t>Ilas</t>
  </si>
  <si>
    <t>Kalos Encarnación III</t>
  </si>
  <si>
    <t>KEIII2S1</t>
  </si>
  <si>
    <t>Confidencial</t>
  </si>
  <si>
    <t>Reubicación / Expansión</t>
  </si>
  <si>
    <t>Amii</t>
  </si>
  <si>
    <t>KEIII2S2</t>
  </si>
  <si>
    <t>Reubicación (viene de clase)</t>
  </si>
  <si>
    <t>Doolim</t>
  </si>
  <si>
    <t>KEIII2S3</t>
  </si>
  <si>
    <t xml:space="preserve">Nuevo </t>
  </si>
  <si>
    <t>Agro Insumos</t>
  </si>
  <si>
    <t>KEIII2S4</t>
  </si>
  <si>
    <t>Linex</t>
  </si>
  <si>
    <t>KEIII3S1</t>
  </si>
  <si>
    <t>KEIII3S8y9</t>
  </si>
  <si>
    <t>Oct</t>
  </si>
  <si>
    <t>Broker</t>
  </si>
  <si>
    <t>Torrey</t>
  </si>
  <si>
    <t>Kalos Miguel Aleman</t>
  </si>
  <si>
    <t>KMA Edificio 2</t>
  </si>
  <si>
    <t>Reubicación</t>
  </si>
  <si>
    <t>Zat Logistics</t>
  </si>
  <si>
    <t>Regiomontano Industrial Park</t>
  </si>
  <si>
    <t>PIRSA</t>
  </si>
  <si>
    <t>Nave F</t>
  </si>
  <si>
    <t>Cooinsa</t>
  </si>
  <si>
    <t>Ebex Logistics</t>
  </si>
  <si>
    <t>Nave E / BTS</t>
  </si>
  <si>
    <t>Fotografica</t>
  </si>
  <si>
    <t>Nave C</t>
  </si>
  <si>
    <t>Galo Shipping</t>
  </si>
  <si>
    <t>Prologis Apodaca Industrial Park</t>
  </si>
  <si>
    <t>Prologis</t>
  </si>
  <si>
    <t xml:space="preserve">PPA3 </t>
  </si>
  <si>
    <t>Pactiv</t>
  </si>
  <si>
    <t>Prologis Monterrey Industrial Center</t>
  </si>
  <si>
    <t>MIC #9</t>
  </si>
  <si>
    <t>Cushman</t>
  </si>
  <si>
    <t>CG Remote Controls</t>
  </si>
  <si>
    <t>MIC #13</t>
  </si>
  <si>
    <t>Veritiv</t>
  </si>
  <si>
    <t>Apodaca 12</t>
  </si>
  <si>
    <t>Whirlpool</t>
  </si>
  <si>
    <t>Apodaca 9</t>
  </si>
  <si>
    <t>Alles Group</t>
  </si>
  <si>
    <t>Kuehne + Nagel</t>
  </si>
  <si>
    <t>BTS (Agua Fría 4)</t>
  </si>
  <si>
    <t>Coldwell</t>
  </si>
  <si>
    <t>Agua Fría 6</t>
  </si>
  <si>
    <t>Smurfit Kappa</t>
  </si>
  <si>
    <t>MIC 4</t>
  </si>
  <si>
    <t xml:space="preserve">Nortech </t>
  </si>
  <si>
    <t>Stiva Aeropuerto</t>
  </si>
  <si>
    <t>Stiva</t>
  </si>
  <si>
    <t>Realty World</t>
  </si>
  <si>
    <t>Reubicación / Expansión Ubicada en Martel Apodaca</t>
  </si>
  <si>
    <t>SeneGence International</t>
  </si>
  <si>
    <t>OWH-1</t>
  </si>
  <si>
    <t>Jul</t>
  </si>
  <si>
    <t>Savills / NAI</t>
  </si>
  <si>
    <t>Marca</t>
  </si>
  <si>
    <t>AU</t>
  </si>
  <si>
    <t>Reubicacion</t>
  </si>
  <si>
    <t>Specialty</t>
  </si>
  <si>
    <t>MRC-1</t>
  </si>
  <si>
    <t>Binex</t>
  </si>
  <si>
    <t>OMA Vynmsa Aeroindustrial</t>
  </si>
  <si>
    <t>Vynmsa</t>
  </si>
  <si>
    <t>Spec III</t>
  </si>
  <si>
    <t>Universal Electronics</t>
  </si>
  <si>
    <t>Vynmsa Aeropuerto Apodaca Industrial</t>
  </si>
  <si>
    <t>Spec IV</t>
  </si>
  <si>
    <t>CIENEGA DE FLORES</t>
  </si>
  <si>
    <t>Ciénega de Flores</t>
  </si>
  <si>
    <t>Brazeway</t>
  </si>
  <si>
    <t>Monterrey Technology Park</t>
  </si>
  <si>
    <t>MTP-B006</t>
  </si>
  <si>
    <t>Ryerson</t>
  </si>
  <si>
    <t>Nexxus ADN</t>
  </si>
  <si>
    <t>Nexxus</t>
  </si>
  <si>
    <t>Conmet</t>
  </si>
  <si>
    <t>Diamante Cienega de Flores</t>
  </si>
  <si>
    <t>Tredec</t>
  </si>
  <si>
    <t>Multi IV</t>
  </si>
  <si>
    <t>TOTAL Ciénega de Flores</t>
  </si>
  <si>
    <t>MONTERREY</t>
  </si>
  <si>
    <t>Monterrey</t>
  </si>
  <si>
    <t>TOTAL Monterrey</t>
  </si>
  <si>
    <t>SAN NICOLAS</t>
  </si>
  <si>
    <t>San Nicolas</t>
  </si>
  <si>
    <t>Exel del Norte</t>
  </si>
  <si>
    <t>Adhoc Sendero</t>
  </si>
  <si>
    <t>Adhoc</t>
  </si>
  <si>
    <t>Nave B</t>
  </si>
  <si>
    <t>Colliers</t>
  </si>
  <si>
    <t>Office Supply</t>
  </si>
  <si>
    <t>Sodisa</t>
  </si>
  <si>
    <t>Nave D</t>
  </si>
  <si>
    <t>Nuevo / Empresa mexicana</t>
  </si>
  <si>
    <t>Holophane</t>
  </si>
  <si>
    <t>Kalos San Nicolas</t>
  </si>
  <si>
    <t>KSN Edificio 5 sec. 5</t>
  </si>
  <si>
    <t>Manufauctura</t>
  </si>
  <si>
    <t>Expansión cliente del parque</t>
  </si>
  <si>
    <t>Porteo Inovativo</t>
  </si>
  <si>
    <t>KSN 4 Sec 5</t>
  </si>
  <si>
    <t>Reubicación / Estaba en Kalos Guadalupe</t>
  </si>
  <si>
    <t>KSN 4 Sec 4</t>
  </si>
  <si>
    <t>Inova Plastics</t>
  </si>
  <si>
    <t>KSN 3 Sec 4</t>
  </si>
  <si>
    <t xml:space="preserve"> MX</t>
  </si>
  <si>
    <t>Amazon</t>
  </si>
  <si>
    <t>Stiva Barragán</t>
  </si>
  <si>
    <t>AMZ-LOG</t>
  </si>
  <si>
    <t>TBI</t>
  </si>
  <si>
    <t>TOTAL San Nicolas</t>
  </si>
  <si>
    <t>ESCOBEDO</t>
  </si>
  <si>
    <t>Escobedo</t>
  </si>
  <si>
    <t>DHL</t>
  </si>
  <si>
    <t>Nexxus Escobedo Industrial Center</t>
  </si>
  <si>
    <t>MTY027</t>
  </si>
  <si>
    <t>Sitra</t>
  </si>
  <si>
    <t>MTY35</t>
  </si>
  <si>
    <t>Henco</t>
  </si>
  <si>
    <t>Monterrey Park I</t>
  </si>
  <si>
    <t>FUNO</t>
  </si>
  <si>
    <t>Nave 1</t>
  </si>
  <si>
    <t>Código Alimentario</t>
  </si>
  <si>
    <t>Nave 2</t>
  </si>
  <si>
    <t>K Group</t>
  </si>
  <si>
    <t>Parque Industrial Libramiento</t>
  </si>
  <si>
    <t>Particular</t>
  </si>
  <si>
    <t>Nave 3</t>
  </si>
  <si>
    <t>Manufactura Ligera</t>
  </si>
  <si>
    <t>Dicex</t>
  </si>
  <si>
    <t>Puerta del Norte Industrial Park</t>
  </si>
  <si>
    <t>Puerta del Norte</t>
  </si>
  <si>
    <t>Nave 4 (Multiusuario)</t>
  </si>
  <si>
    <t>Hellermann Tyton</t>
  </si>
  <si>
    <t>Vynmsa Escobedo</t>
  </si>
  <si>
    <t>Mekra Lang</t>
  </si>
  <si>
    <t>Vynmsa Escobedo Park II</t>
  </si>
  <si>
    <t>Spec II</t>
  </si>
  <si>
    <t>De Acero</t>
  </si>
  <si>
    <t>Spec III - Expansión</t>
  </si>
  <si>
    <t>TOTAL Escobedo</t>
  </si>
  <si>
    <t>GUADALUPE</t>
  </si>
  <si>
    <t>Guadalupe</t>
  </si>
  <si>
    <t>Maysteel</t>
  </si>
  <si>
    <t>Finsa Guadalupe</t>
  </si>
  <si>
    <t>Horacio Lozano</t>
  </si>
  <si>
    <t>HL3A</t>
  </si>
  <si>
    <t>TOTAL Guadalpue</t>
  </si>
  <si>
    <t>PESQUERIA</t>
  </si>
  <si>
    <t>Pesquería</t>
  </si>
  <si>
    <t>NPC Coreana</t>
  </si>
  <si>
    <t>Airport Technology Park</t>
  </si>
  <si>
    <t>Spec 2</t>
  </si>
  <si>
    <t>Sandro Lee</t>
  </si>
  <si>
    <t>Nuevo. Plasticos  / Proveedor de KIA</t>
  </si>
  <si>
    <t>TOTAL Pesquería</t>
  </si>
  <si>
    <t>Total Pesqueria</t>
  </si>
  <si>
    <t>SANTA CATARINA</t>
  </si>
  <si>
    <t>Santa Catarina</t>
  </si>
  <si>
    <t>Cuprum</t>
  </si>
  <si>
    <t>Fibra Monterrey</t>
  </si>
  <si>
    <t>Marathon</t>
  </si>
  <si>
    <t>Milenium Industrial Park</t>
  </si>
  <si>
    <t>MCA 1</t>
  </si>
  <si>
    <t>GDR</t>
  </si>
  <si>
    <t>Martel I</t>
  </si>
  <si>
    <t>Nave Brasil</t>
  </si>
  <si>
    <t>IACNA</t>
  </si>
  <si>
    <t xml:space="preserve">Finsa Santa Catarina </t>
  </si>
  <si>
    <t>Finsa</t>
  </si>
  <si>
    <t>Criotec</t>
  </si>
  <si>
    <t>Finsa Santa Catarina II</t>
  </si>
  <si>
    <t>Building 1</t>
  </si>
  <si>
    <t>9 meses</t>
  </si>
  <si>
    <t>Owens</t>
  </si>
  <si>
    <t>3 meses</t>
  </si>
  <si>
    <t>Ryder</t>
  </si>
  <si>
    <t>Finsa Santa Catarina</t>
  </si>
  <si>
    <t>Multi II</t>
  </si>
  <si>
    <t>Nave X</t>
  </si>
  <si>
    <t>Owens Corning</t>
  </si>
  <si>
    <t>Stiva Santa Catarina</t>
  </si>
  <si>
    <t>INV-SC-02-C</t>
  </si>
  <si>
    <t>JLL</t>
  </si>
  <si>
    <t>Carrier Enterprise</t>
  </si>
  <si>
    <t>INV-SC-03</t>
  </si>
  <si>
    <t>Nemak</t>
  </si>
  <si>
    <t>Microparque</t>
  </si>
  <si>
    <t>Consyrsa</t>
  </si>
  <si>
    <t>Spec I Modulo 4,5</t>
  </si>
  <si>
    <t>TOTAL Santa Catarina</t>
  </si>
  <si>
    <t>SALINAS VICTORIA</t>
  </si>
  <si>
    <t>Salinas Victoria</t>
  </si>
  <si>
    <t>Fuling Plastics</t>
  </si>
  <si>
    <t>Interpuerto Monterrey</t>
  </si>
  <si>
    <t>Interpuerto</t>
  </si>
  <si>
    <t>Building 12</t>
  </si>
  <si>
    <t>Nuevo / Empresa china</t>
  </si>
  <si>
    <t>TOTAL Salinas Victoria</t>
  </si>
  <si>
    <t>TOTAL</t>
  </si>
  <si>
    <t>AVAILABLE BUILDINGS</t>
  </si>
  <si>
    <t>EDIFICIO</t>
  </si>
  <si>
    <t>UBICACIÓN</t>
  </si>
  <si>
    <t>AREA TOTAL S.M.</t>
  </si>
  <si>
    <t>AREA DISPONIBLE S.M</t>
  </si>
  <si>
    <t>TOTAL SF</t>
  </si>
  <si>
    <t>DISPONIBLE SF</t>
  </si>
  <si>
    <t>CLASE</t>
  </si>
  <si>
    <t>Huinala I (Ex-Ilpea)</t>
  </si>
  <si>
    <t>Las Americas Huinala Industrial</t>
  </si>
  <si>
    <t>A03</t>
  </si>
  <si>
    <t>Avante Apodaca Industrial Park</t>
  </si>
  <si>
    <t>Avante</t>
  </si>
  <si>
    <t>AP05</t>
  </si>
  <si>
    <t>Avante Airport Industrial Park</t>
  </si>
  <si>
    <t>2A</t>
  </si>
  <si>
    <t>Kronos Industrial Park</t>
  </si>
  <si>
    <t>Capital G</t>
  </si>
  <si>
    <t>shell</t>
  </si>
  <si>
    <t>3A</t>
  </si>
  <si>
    <t>Milenium Agua Fría</t>
  </si>
  <si>
    <t>MAN 07</t>
  </si>
  <si>
    <t xml:space="preserve">Coexsa </t>
  </si>
  <si>
    <t>Innova 1</t>
  </si>
  <si>
    <t>ATP-B005</t>
  </si>
  <si>
    <t>CPAAPO-B003</t>
  </si>
  <si>
    <t>CPA Business Center Apodaca</t>
  </si>
  <si>
    <t>MTY-31</t>
  </si>
  <si>
    <t>Stand Alone (Former Whirlpool)</t>
  </si>
  <si>
    <t>MTY-05</t>
  </si>
  <si>
    <t>Finsa Monterrey</t>
  </si>
  <si>
    <t>Fase 1</t>
  </si>
  <si>
    <t>G Induistrial</t>
  </si>
  <si>
    <t>Fase 2</t>
  </si>
  <si>
    <t>GP</t>
  </si>
  <si>
    <t>Nave 1 (PIS 1)</t>
  </si>
  <si>
    <t>Nave 2 (PIS 9-12)</t>
  </si>
  <si>
    <t>KAS 1, 1 al 8</t>
  </si>
  <si>
    <t>Kalos Apodaca Santa Rosa</t>
  </si>
  <si>
    <t>KAS 3, 1 al 3</t>
  </si>
  <si>
    <t>KAS 4, 1 al 4</t>
  </si>
  <si>
    <t>KAS 5, 1 al 3</t>
  </si>
  <si>
    <t>KAS 6, 1 al 3</t>
  </si>
  <si>
    <t>KH1S2-3</t>
  </si>
  <si>
    <t>Kalos Huinala</t>
  </si>
  <si>
    <t>MIC # 5</t>
  </si>
  <si>
    <t>PPA4</t>
  </si>
  <si>
    <t>INV-AE-01</t>
  </si>
  <si>
    <t xml:space="preserve">Stiva Aeropuerto </t>
  </si>
  <si>
    <t>INV-AE-02</t>
  </si>
  <si>
    <t>OWH-3</t>
  </si>
  <si>
    <t>AM-C (Former DSV)</t>
  </si>
  <si>
    <t>Spec V</t>
  </si>
  <si>
    <t>OMA Vynmsa Aeropuerto</t>
  </si>
  <si>
    <t>Spec VI</t>
  </si>
  <si>
    <t>MT02</t>
  </si>
  <si>
    <t>GP Escobedo</t>
  </si>
  <si>
    <t>Legget &amp; Platt</t>
  </si>
  <si>
    <t>Anillo Periferico</t>
  </si>
  <si>
    <t>PDN1</t>
  </si>
  <si>
    <t>Recinto</t>
  </si>
  <si>
    <t>MTY026</t>
  </si>
  <si>
    <t>Crisa</t>
  </si>
  <si>
    <t>Nave 4</t>
  </si>
  <si>
    <t>KSN 4, 6 al 9</t>
  </si>
  <si>
    <t>Nave A</t>
  </si>
  <si>
    <t>Cienega de Flores</t>
  </si>
  <si>
    <t>CPAADN-B012</t>
  </si>
  <si>
    <t>CPA Logistics Center ADN</t>
  </si>
  <si>
    <t>Multi III</t>
  </si>
  <si>
    <t>Inventario I</t>
  </si>
  <si>
    <t>Diamante Cienega de Flores II</t>
  </si>
  <si>
    <t>El Nacional Industrial Park</t>
  </si>
  <si>
    <t>Fondo 5</t>
  </si>
  <si>
    <t>MTY-12</t>
  </si>
  <si>
    <t>Oasis</t>
  </si>
  <si>
    <t>Inventario</t>
  </si>
  <si>
    <t>Ureblock</t>
  </si>
  <si>
    <t>Former-Liverpool</t>
  </si>
  <si>
    <t>Omega</t>
  </si>
  <si>
    <t>M08</t>
  </si>
  <si>
    <t>Avante Monterrey Industrial Park</t>
  </si>
  <si>
    <t>Roca Desarrollos</t>
  </si>
  <si>
    <t>M06A</t>
  </si>
  <si>
    <t>G02</t>
  </si>
  <si>
    <t>Avante Guadalupe</t>
  </si>
  <si>
    <t>Celestica</t>
  </si>
  <si>
    <t>La Silla Guadalupe</t>
  </si>
  <si>
    <t>Ciesa</t>
  </si>
  <si>
    <t>Edificio 16 Sec 1</t>
  </si>
  <si>
    <t>Kalos Guadalupe</t>
  </si>
  <si>
    <t>Edificio 5 Sec 1</t>
  </si>
  <si>
    <t>Guadalupe I</t>
  </si>
  <si>
    <t>IGS</t>
  </si>
  <si>
    <t>Former LM</t>
  </si>
  <si>
    <t>Guadalupe III</t>
  </si>
  <si>
    <t>HL3B</t>
  </si>
  <si>
    <t>Building XI</t>
  </si>
  <si>
    <t>MTY-20</t>
  </si>
  <si>
    <t>Nexxus Guadalupe</t>
  </si>
  <si>
    <t>Acueducto Industrial Park</t>
  </si>
  <si>
    <t>Nave 07</t>
  </si>
  <si>
    <t>AVIA Industrial Park</t>
  </si>
  <si>
    <t>AVIA</t>
  </si>
  <si>
    <t>Landus Sta. Catarina</t>
  </si>
  <si>
    <t>Landus</t>
  </si>
  <si>
    <t>Parque Martel Santa Catarina</t>
  </si>
  <si>
    <t>Martel</t>
  </si>
  <si>
    <t>Vynmsa Santa Catarina Industrial Park</t>
  </si>
  <si>
    <t>El Cardinal Business Park</t>
  </si>
  <si>
    <t>Robertson Industries</t>
  </si>
  <si>
    <t>INVENTARIO EN CONSTRUCCION</t>
  </si>
  <si>
    <t>DISPONIBLE</t>
  </si>
  <si>
    <t>Inventory III</t>
  </si>
  <si>
    <t>Cerró con Dometic</t>
  </si>
  <si>
    <t>1Q19</t>
  </si>
  <si>
    <t>AP01</t>
  </si>
  <si>
    <t>3Q19</t>
  </si>
  <si>
    <t>Inventory</t>
  </si>
  <si>
    <t>Davisa Apodaca Industrial Park</t>
  </si>
  <si>
    <t>Davisa</t>
  </si>
  <si>
    <t>MT-6</t>
  </si>
  <si>
    <t>2Q19</t>
  </si>
  <si>
    <t>Pirsa</t>
  </si>
  <si>
    <t>Bldg11</t>
  </si>
  <si>
    <t>MT01</t>
  </si>
  <si>
    <t>GP Juarez</t>
  </si>
  <si>
    <t>Cerró 6,000 mts con Codigo Alimentario</t>
  </si>
  <si>
    <t>PRIVATE OWNERS</t>
  </si>
  <si>
    <t>EMPRESA</t>
  </si>
  <si>
    <t>BTS/ Inventory</t>
  </si>
  <si>
    <t>TERRENO S.F.</t>
  </si>
  <si>
    <t>EDIFICIO S.M.</t>
  </si>
  <si>
    <t>EDIFICIO S.F.</t>
  </si>
  <si>
    <t>PRECIO</t>
  </si>
  <si>
    <t>LS</t>
  </si>
  <si>
    <t>Venta</t>
  </si>
  <si>
    <t>Acument</t>
  </si>
  <si>
    <t>Vynmsa Santa Catarina</t>
  </si>
  <si>
    <t>N/A</t>
  </si>
  <si>
    <t>Gondi</t>
  </si>
  <si>
    <t>Venta de terreno</t>
  </si>
  <si>
    <t>Fapsa</t>
  </si>
  <si>
    <t>Venta /Expansión</t>
  </si>
  <si>
    <t>Logistico</t>
  </si>
  <si>
    <t>Henkel</t>
  </si>
  <si>
    <t>Ball</t>
  </si>
  <si>
    <t>Venta a terceros</t>
  </si>
  <si>
    <t>AEMSCO (IMC)</t>
  </si>
  <si>
    <t>Nexxus Santa Maria Industrial Park</t>
  </si>
  <si>
    <t>Empresa Coreana / Venta de terreno</t>
  </si>
  <si>
    <t>García</t>
  </si>
  <si>
    <t>Frisa</t>
  </si>
  <si>
    <t>PF Frisa</t>
  </si>
  <si>
    <t>BTS-Exp</t>
  </si>
  <si>
    <t>NOTAS</t>
  </si>
  <si>
    <t>Las Americas García vendió las 66 hectáreas al desarrollador Advance Real Estate por medio de Citius Capital.</t>
  </si>
  <si>
    <t>LAND</t>
  </si>
  <si>
    <t>AREA TOTAL TERRENO hectareas</t>
  </si>
  <si>
    <t>DESARROLLADO</t>
  </si>
  <si>
    <t>POR DESARROLLAR</t>
  </si>
  <si>
    <t>DISPONIBLE PARA VENTA</t>
  </si>
  <si>
    <t>Interpuerto Industrial Park</t>
  </si>
  <si>
    <t>91.56 hec. semi urbanizado / 1,055 hec. en breña</t>
  </si>
  <si>
    <t>Nexxus Cienega de Flores</t>
  </si>
  <si>
    <t>MTP</t>
  </si>
  <si>
    <t>Vigia</t>
  </si>
  <si>
    <t>American Ind.</t>
  </si>
  <si>
    <t>Solo para desarrollo</t>
  </si>
  <si>
    <t>AI Apodaca Industrial Park</t>
  </si>
  <si>
    <t>Finsa Apodaca</t>
  </si>
  <si>
    <t>Davisa Apodaca Industrial</t>
  </si>
  <si>
    <t xml:space="preserve">Guadalupe </t>
  </si>
  <si>
    <t>Sta. Catarina</t>
  </si>
  <si>
    <t>Las Americas</t>
  </si>
  <si>
    <t>No negociable</t>
  </si>
  <si>
    <t>Advance Real Estate</t>
  </si>
  <si>
    <t>El Carmen</t>
  </si>
  <si>
    <t xml:space="preserve">EVALTA  </t>
  </si>
  <si>
    <t>EVALTA - GTP</t>
  </si>
  <si>
    <t>EVALTA - CIP</t>
  </si>
  <si>
    <t>Abasolo</t>
  </si>
  <si>
    <t>EVALTA - NLC</t>
  </si>
  <si>
    <t>EVALTA - ATP</t>
  </si>
  <si>
    <t>Diamante Pesquería</t>
  </si>
  <si>
    <t>Solo para BTS</t>
  </si>
  <si>
    <t>PIES CUADRADOS TOTALES CONSTRUIDOS</t>
  </si>
  <si>
    <t>Market / Real Estate Companies</t>
  </si>
  <si>
    <t>AUGUST, 2018</t>
  </si>
  <si>
    <t>DECEMBER, 2017</t>
  </si>
  <si>
    <t>DECEMBER, 2016</t>
  </si>
  <si>
    <t>Noviembre, 2015</t>
  </si>
  <si>
    <t>November 2014</t>
  </si>
  <si>
    <t>Square Feet</t>
  </si>
  <si>
    <t>%Of Total</t>
  </si>
  <si>
    <t xml:space="preserve">Kalos </t>
  </si>
  <si>
    <t>Fibra ProLogis</t>
  </si>
  <si>
    <t xml:space="preserve">Grupo GP </t>
  </si>
  <si>
    <t>Fibra uno (GP+Finsa)</t>
  </si>
  <si>
    <t>Finsa  (Diamante Sta)</t>
  </si>
  <si>
    <t xml:space="preserve">COEXSA  </t>
  </si>
  <si>
    <t>Terrafina (O’Donnell+AI)</t>
  </si>
  <si>
    <t>Omolap</t>
  </si>
  <si>
    <t>Intermex</t>
  </si>
  <si>
    <t>FIMAC (CPA + DCT+ Intramerica+Nexxus+CPA)</t>
  </si>
  <si>
    <t>Fibra Nova</t>
  </si>
  <si>
    <t>Kronos</t>
  </si>
  <si>
    <t>Puerta Norte</t>
  </si>
  <si>
    <t>GDS Industrial</t>
  </si>
  <si>
    <t>Amistad</t>
  </si>
  <si>
    <t>Total Monterrey :</t>
  </si>
  <si>
    <t>PROYECTOS FUTUROS</t>
  </si>
  <si>
    <t>AREA TOTAL TERRENO</t>
  </si>
  <si>
    <t>Luis Lauro</t>
  </si>
  <si>
    <t>Building 2</t>
  </si>
  <si>
    <t>GDS Business park</t>
  </si>
  <si>
    <t>Building 3</t>
  </si>
  <si>
    <t>Building 4</t>
  </si>
  <si>
    <t>Building 5</t>
  </si>
  <si>
    <t>Building 6</t>
  </si>
  <si>
    <t>Escobedo /El Carmen</t>
  </si>
  <si>
    <t>El Jaral Industrial Park</t>
  </si>
  <si>
    <t>72 hectareas</t>
  </si>
  <si>
    <t>Las Americas Pesquería</t>
  </si>
  <si>
    <t>100 hectareas</t>
  </si>
  <si>
    <t>52 hectareas</t>
  </si>
  <si>
    <t>AI</t>
  </si>
  <si>
    <t>Apodaca Industrial Park (Dulces Nombres)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</si>
</sst>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[$-409]d\-mmm\-yy;@"/>
    <numFmt numFmtId="165" formatCode="[$-409]mmm\-yy;@"/>
    <numFmt numFmtId="166" formatCode="#,##0.0"/>
    <numFmt numFmtId="167" formatCode="_-&quot;$&quot;* #,##0_-;\-&quot;$&quot;* #,##0_-;_-&quot;$&quot;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color indexed="23"/>
      <name val="Century Gothic"/>
      <family val="2"/>
    </font>
    <font>
      <b/>
      <sz val="12"/>
      <color indexed="9"/>
      <name val="Century Gothic"/>
      <family val="2"/>
    </font>
    <font>
      <sz val="10"/>
      <name val="Arial"/>
      <family val="2"/>
    </font>
    <font>
      <b/>
      <sz val="16"/>
      <color indexed="54"/>
      <name val="Century Gothic"/>
      <family val="2"/>
    </font>
    <font>
      <sz val="10"/>
      <color theme="3" tint="-0.249977111117893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3" tint="-0.249977111117893"/>
      <name val="Arial"/>
      <family val="2"/>
    </font>
    <font>
      <b/>
      <sz val="10"/>
      <color theme="3" tint="-0.249977111117893"/>
      <name val="Century Gothic"/>
      <family val="2"/>
    </font>
    <font>
      <b/>
      <sz val="10"/>
      <color theme="3" tint="0.39997558519241921"/>
      <name val="Century Gothic"/>
      <family val="2"/>
    </font>
    <font>
      <b/>
      <sz val="18"/>
      <name val="Century Gothic"/>
      <family val="2"/>
    </font>
    <font>
      <sz val="9"/>
      <name val="Century Gothic"/>
      <family val="2"/>
    </font>
    <font>
      <b/>
      <sz val="10"/>
      <color indexed="23"/>
      <name val="Century Gothic"/>
      <family val="2"/>
    </font>
    <font>
      <sz val="10"/>
      <color indexed="55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54"/>
      <name val="Century Gothic"/>
      <family val="2"/>
    </font>
    <font>
      <sz val="9"/>
      <name val="Calibri"/>
      <family val="2"/>
    </font>
    <font>
      <sz val="10"/>
      <color theme="3" tint="-0.249977111117893"/>
      <name val="Calibri"/>
      <family val="2"/>
    </font>
    <font>
      <sz val="9"/>
      <color theme="3" tint="-0.249977111117893"/>
      <name val="Century Gothic"/>
      <family val="2"/>
    </font>
    <font>
      <sz val="9"/>
      <color theme="3" tint="-0.249977111117893"/>
      <name val="Calibri"/>
      <family val="2"/>
    </font>
    <font>
      <sz val="10"/>
      <name val="Calibri"/>
      <family val="2"/>
    </font>
    <font>
      <b/>
      <sz val="18"/>
      <color theme="3" tint="0.39997558519241921"/>
      <name val="Century Gothic"/>
      <family val="2"/>
    </font>
    <font>
      <b/>
      <sz val="9"/>
      <color theme="3" tint="-0.249977111117893"/>
      <name val="Century Gothic"/>
      <family val="2"/>
    </font>
    <font>
      <b/>
      <sz val="14"/>
      <color indexed="9"/>
      <name val="Century Gothic"/>
      <family val="2"/>
    </font>
    <font>
      <sz val="10"/>
      <color indexed="9"/>
      <name val="Century Gothic"/>
      <family val="2"/>
    </font>
    <font>
      <b/>
      <sz val="10"/>
      <color indexed="22"/>
      <name val="Century Gothic"/>
      <family val="2"/>
    </font>
    <font>
      <sz val="10"/>
      <color indexed="22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sz val="10"/>
      <color indexed="23"/>
      <name val="Century Gothic"/>
      <family val="2"/>
    </font>
    <font>
      <sz val="10"/>
      <name val="Open Sans"/>
      <family val="2"/>
    </font>
    <font>
      <sz val="11"/>
      <color theme="1"/>
      <name val="Calibri"/>
      <family val="2"/>
      <scheme val="minor"/>
    </font>
    <font>
      <b/>
      <sz val="16"/>
      <color theme="3" tint="0.39997558519241921"/>
      <name val="Century Gothic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color theme="3" tint="-0.249977111117893"/>
      <name val="Century Gothic"/>
      <family val="2"/>
    </font>
    <font>
      <sz val="10"/>
      <color theme="3" tint="-0.249977111117893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b/>
      <sz val="10"/>
      <color theme="3" tint="-0.249977111117893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color indexed="9"/>
      <name val="Century Gothic"/>
      <family val="2"/>
    </font>
    <font>
      <sz val="12"/>
      <name val="Arial"/>
      <family val="2"/>
    </font>
    <font>
      <sz val="10"/>
      <color rgb="FFFF0000"/>
      <name val="Century Gothic"/>
      <family val="2"/>
    </font>
    <font>
      <sz val="10"/>
      <color theme="4" tint="-0.499984740745262"/>
      <name val="Century Gothic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9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8">
    <xf numFmtId="0" fontId="0" fillId="0" borderId="0" xfId="0"/>
    <xf numFmtId="0" fontId="0" fillId="0" borderId="0" xfId="0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3" fontId="7" fillId="0" borderId="7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3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2" xfId="0" applyFont="1" applyBorder="1" applyAlignment="1">
      <alignment horizontal="left" vertical="top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3" fontId="17" fillId="2" borderId="12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3" fontId="17" fillId="2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horizontal="right" vertical="center" wrapText="1"/>
    </xf>
    <xf numFmtId="0" fontId="10" fillId="0" borderId="2" xfId="0" applyFont="1" applyBorder="1" applyAlignment="1">
      <alignment horizontal="center" vertical="center"/>
    </xf>
    <xf numFmtId="3" fontId="20" fillId="0" borderId="0" xfId="0" applyNumberFormat="1" applyFont="1" applyAlignment="1">
      <alignment horizontal="right" vertical="center" wrapText="1"/>
    </xf>
    <xf numFmtId="3" fontId="7" fillId="0" borderId="2" xfId="0" applyNumberFormat="1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3" fontId="21" fillId="0" borderId="2" xfId="0" applyNumberFormat="1" applyFont="1" applyBorder="1" applyAlignment="1">
      <alignment horizontal="center" vertical="center"/>
    </xf>
    <xf numFmtId="3" fontId="21" fillId="4" borderId="2" xfId="0" applyNumberFormat="1" applyFont="1" applyFill="1" applyBorder="1" applyAlignment="1">
      <alignment horizontal="center" vertical="center"/>
    </xf>
    <xf numFmtId="17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2" xfId="0" applyFont="1" applyBorder="1" applyAlignment="1">
      <alignment horizontal="left" vertical="center"/>
    </xf>
    <xf numFmtId="3" fontId="22" fillId="0" borderId="2" xfId="0" applyNumberFormat="1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3" fontId="23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3" fontId="7" fillId="0" borderId="2" xfId="0" applyNumberFormat="1" applyFont="1" applyBorder="1" applyAlignment="1">
      <alignment horizontal="left" vertical="center" wrapText="1"/>
    </xf>
    <xf numFmtId="0" fontId="18" fillId="3" borderId="8" xfId="0" applyFont="1" applyFill="1" applyBorder="1" applyAlignment="1">
      <alignment vertical="center"/>
    </xf>
    <xf numFmtId="3" fontId="11" fillId="0" borderId="1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3" fontId="23" fillId="0" borderId="0" xfId="0" applyNumberFormat="1" applyFont="1" applyAlignment="1">
      <alignment horizontal="right" vertical="center"/>
    </xf>
    <xf numFmtId="166" fontId="7" fillId="0" borderId="2" xfId="0" applyNumberFormat="1" applyFont="1" applyBorder="1" applyAlignment="1">
      <alignment horizontal="center" vertical="center"/>
    </xf>
    <xf numFmtId="3" fontId="20" fillId="0" borderId="0" xfId="0" applyNumberFormat="1" applyFont="1" applyAlignment="1">
      <alignment horizontal="right" vertical="center"/>
    </xf>
    <xf numFmtId="3" fontId="21" fillId="0" borderId="2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3" fontId="17" fillId="2" borderId="4" xfId="0" applyNumberFormat="1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3" fontId="11" fillId="0" borderId="10" xfId="0" applyNumberFormat="1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4" borderId="14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center" vertical="center"/>
    </xf>
    <xf numFmtId="3" fontId="7" fillId="4" borderId="8" xfId="0" applyNumberFormat="1" applyFont="1" applyFill="1" applyBorder="1" applyAlignment="1">
      <alignment horizontal="center" vertical="center"/>
    </xf>
    <xf numFmtId="3" fontId="21" fillId="4" borderId="8" xfId="0" applyNumberFormat="1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3" fontId="25" fillId="0" borderId="1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3" fontId="26" fillId="2" borderId="4" xfId="0" applyNumberFormat="1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0" borderId="0" xfId="0" applyFont="1"/>
    <xf numFmtId="0" fontId="29" fillId="3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3" fontId="0" fillId="0" borderId="0" xfId="0" applyNumberFormat="1"/>
    <xf numFmtId="0" fontId="7" fillId="0" borderId="0" xfId="0" applyFont="1" applyAlignment="1">
      <alignment horizontal="left" vertical="center"/>
    </xf>
    <xf numFmtId="3" fontId="21" fillId="0" borderId="7" xfId="0" applyNumberFormat="1" applyFont="1" applyBorder="1" applyAlignment="1">
      <alignment horizontal="center"/>
    </xf>
    <xf numFmtId="3" fontId="21" fillId="6" borderId="7" xfId="0" applyNumberFormat="1" applyFont="1" applyFill="1" applyBorder="1" applyAlignment="1">
      <alignment horizontal="center"/>
    </xf>
    <xf numFmtId="17" fontId="7" fillId="0" borderId="2" xfId="0" applyNumberFormat="1" applyFont="1" applyBorder="1" applyAlignment="1">
      <alignment horizontal="center" vertical="center"/>
    </xf>
    <xf numFmtId="3" fontId="25" fillId="0" borderId="7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0" fontId="30" fillId="2" borderId="9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right" vertical="center"/>
    </xf>
    <xf numFmtId="3" fontId="26" fillId="2" borderId="1" xfId="0" applyNumberFormat="1" applyFont="1" applyFill="1" applyBorder="1" applyAlignment="1">
      <alignment horizontal="right" vertical="center"/>
    </xf>
    <xf numFmtId="0" fontId="26" fillId="2" borderId="1" xfId="0" applyFont="1" applyFill="1" applyBorder="1" applyAlignment="1">
      <alignment horizontal="center" vertical="center"/>
    </xf>
    <xf numFmtId="3" fontId="26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165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8" fillId="0" borderId="6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6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2" fillId="0" borderId="6" xfId="0" applyFont="1" applyBorder="1" applyAlignment="1">
      <alignment vertical="center"/>
    </xf>
    <xf numFmtId="0" fontId="40" fillId="0" borderId="0" xfId="2" applyFont="1" applyAlignment="1">
      <alignment vertical="center"/>
    </xf>
    <xf numFmtId="3" fontId="43" fillId="0" borderId="2" xfId="0" applyNumberFormat="1" applyFont="1" applyBorder="1" applyAlignment="1">
      <alignment vertical="center"/>
    </xf>
    <xf numFmtId="3" fontId="44" fillId="5" borderId="4" xfId="0" applyNumberFormat="1" applyFont="1" applyFill="1" applyBorder="1" applyAlignment="1">
      <alignment horizontal="left" vertical="center"/>
    </xf>
    <xf numFmtId="3" fontId="44" fillId="5" borderId="8" xfId="0" applyNumberFormat="1" applyFont="1" applyFill="1" applyBorder="1" applyAlignment="1">
      <alignment horizontal="left" vertical="center"/>
    </xf>
    <xf numFmtId="3" fontId="44" fillId="5" borderId="2" xfId="0" applyNumberFormat="1" applyFont="1" applyFill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46" fillId="2" borderId="2" xfId="0" applyFont="1" applyFill="1" applyBorder="1" applyAlignment="1">
      <alignment vertical="center"/>
    </xf>
    <xf numFmtId="164" fontId="46" fillId="2" borderId="2" xfId="0" applyNumberFormat="1" applyFont="1" applyFill="1" applyBorder="1" applyAlignment="1">
      <alignment vertical="center"/>
    </xf>
    <xf numFmtId="0" fontId="46" fillId="2" borderId="2" xfId="0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8" fillId="0" borderId="7" xfId="0" applyFont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0" fontId="48" fillId="0" borderId="2" xfId="0" applyFont="1" applyBorder="1" applyAlignment="1">
      <alignment horizontal="center" vertical="center"/>
    </xf>
    <xf numFmtId="3" fontId="48" fillId="0" borderId="2" xfId="0" applyNumberFormat="1" applyFont="1" applyBorder="1" applyAlignment="1">
      <alignment horizontal="center" vertical="center"/>
    </xf>
    <xf numFmtId="0" fontId="48" fillId="0" borderId="2" xfId="0" applyFont="1" applyBorder="1" applyAlignment="1">
      <alignment horizontal="left" vertical="center" wrapText="1"/>
    </xf>
    <xf numFmtId="17" fontId="21" fillId="0" borderId="7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3" fontId="21" fillId="0" borderId="19" xfId="0" applyNumberFormat="1" applyFont="1" applyBorder="1" applyAlignment="1">
      <alignment horizontal="center" vertical="center"/>
    </xf>
    <xf numFmtId="3" fontId="21" fillId="0" borderId="19" xfId="0" applyNumberFormat="1" applyFont="1" applyBorder="1" applyAlignment="1">
      <alignment horizontal="center" vertical="center" wrapText="1"/>
    </xf>
    <xf numFmtId="17" fontId="21" fillId="0" borderId="8" xfId="0" applyNumberFormat="1" applyFont="1" applyBorder="1" applyAlignment="1">
      <alignment horizontal="center" vertical="center"/>
    </xf>
    <xf numFmtId="8" fontId="7" fillId="0" borderId="2" xfId="0" applyNumberFormat="1" applyFont="1" applyBorder="1" applyAlignment="1">
      <alignment vertical="center"/>
    </xf>
    <xf numFmtId="3" fontId="21" fillId="0" borderId="0" xfId="0" applyNumberFormat="1" applyFont="1" applyAlignment="1">
      <alignment horizontal="left" vertical="center"/>
    </xf>
    <xf numFmtId="0" fontId="7" fillId="0" borderId="2" xfId="2" applyFont="1" applyBorder="1" applyAlignment="1">
      <alignment vertical="center"/>
    </xf>
    <xf numFmtId="0" fontId="7" fillId="0" borderId="2" xfId="2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48" fillId="0" borderId="2" xfId="2" applyFont="1" applyBorder="1" applyAlignment="1">
      <alignment vertical="center"/>
    </xf>
    <xf numFmtId="0" fontId="48" fillId="0" borderId="2" xfId="2" applyFont="1" applyBorder="1" applyAlignment="1">
      <alignment horizontal="center" vertical="center"/>
    </xf>
    <xf numFmtId="0" fontId="48" fillId="0" borderId="2" xfId="2" applyFont="1" applyBorder="1" applyAlignment="1">
      <alignment horizontal="left" vertical="center"/>
    </xf>
    <xf numFmtId="17" fontId="7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165" fontId="7" fillId="0" borderId="2" xfId="0" applyNumberFormat="1" applyFont="1" applyBorder="1" applyAlignment="1">
      <alignment horizontal="center" vertical="center" wrapText="1"/>
    </xf>
    <xf numFmtId="8" fontId="7" fillId="0" borderId="2" xfId="0" applyNumberFormat="1" applyFont="1" applyBorder="1" applyAlignment="1">
      <alignment horizontal="center" vertical="center"/>
    </xf>
    <xf numFmtId="8" fontId="7" fillId="0" borderId="2" xfId="2" applyNumberFormat="1" applyFont="1" applyBorder="1" applyAlignment="1">
      <alignment horizontal="left" vertical="center"/>
    </xf>
    <xf numFmtId="165" fontId="7" fillId="0" borderId="2" xfId="2" applyNumberFormat="1" applyFont="1" applyBorder="1" applyAlignment="1">
      <alignment horizontal="center" vertical="center"/>
    </xf>
    <xf numFmtId="0" fontId="7" fillId="0" borderId="2" xfId="2" applyFont="1" applyBorder="1" applyAlignment="1">
      <alignment horizontal="left" vertical="center"/>
    </xf>
    <xf numFmtId="3" fontId="7" fillId="0" borderId="2" xfId="2" applyNumberFormat="1" applyFont="1" applyBorder="1" applyAlignment="1">
      <alignment horizontal="left" vertical="center"/>
    </xf>
    <xf numFmtId="3" fontId="7" fillId="0" borderId="2" xfId="2" applyNumberFormat="1" applyFont="1" applyBorder="1" applyAlignment="1">
      <alignment horizontal="center" vertical="center"/>
    </xf>
    <xf numFmtId="3" fontId="49" fillId="0" borderId="2" xfId="0" applyNumberFormat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165" fontId="49" fillId="0" borderId="2" xfId="0" applyNumberFormat="1" applyFont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8" fontId="7" fillId="4" borderId="2" xfId="2" applyNumberFormat="1" applyFont="1" applyFill="1" applyBorder="1" applyAlignment="1">
      <alignment horizontal="left" vertical="center"/>
    </xf>
    <xf numFmtId="2" fontId="7" fillId="0" borderId="2" xfId="0" applyNumberFormat="1" applyFont="1" applyBorder="1" applyAlignment="1">
      <alignment horizontal="left"/>
    </xf>
    <xf numFmtId="2" fontId="7" fillId="0" borderId="2" xfId="0" applyNumberFormat="1" applyFont="1" applyBorder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3" fontId="49" fillId="4" borderId="2" xfId="0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left" vertical="center"/>
    </xf>
    <xf numFmtId="167" fontId="7" fillId="0" borderId="2" xfId="1" applyNumberFormat="1" applyFont="1" applyBorder="1" applyAlignment="1">
      <alignment horizontal="center" vertical="center"/>
    </xf>
    <xf numFmtId="167" fontId="49" fillId="0" borderId="2" xfId="1" applyNumberFormat="1" applyFont="1" applyBorder="1" applyAlignment="1">
      <alignment horizontal="center" vertical="center"/>
    </xf>
    <xf numFmtId="167" fontId="7" fillId="0" borderId="2" xfId="4" applyNumberFormat="1" applyFont="1" applyBorder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right" vertical="center"/>
    </xf>
    <xf numFmtId="3" fontId="26" fillId="2" borderId="0" xfId="0" applyNumberFormat="1" applyFont="1" applyFill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vertical="center"/>
    </xf>
    <xf numFmtId="0" fontId="30" fillId="2" borderId="14" xfId="0" applyFont="1" applyFill="1" applyBorder="1" applyAlignment="1">
      <alignment vertical="center"/>
    </xf>
    <xf numFmtId="0" fontId="50" fillId="2" borderId="8" xfId="0" applyFont="1" applyFill="1" applyBorder="1"/>
    <xf numFmtId="0" fontId="50" fillId="2" borderId="2" xfId="0" applyFont="1" applyFill="1" applyBorder="1"/>
    <xf numFmtId="0" fontId="53" fillId="0" borderId="23" xfId="0" applyFont="1" applyBorder="1" applyAlignment="1">
      <alignment horizontal="center"/>
    </xf>
    <xf numFmtId="0" fontId="53" fillId="0" borderId="24" xfId="0" applyFont="1" applyBorder="1" applyAlignment="1">
      <alignment horizontal="center"/>
    </xf>
    <xf numFmtId="0" fontId="5" fillId="0" borderId="2" xfId="3" applyBorder="1"/>
    <xf numFmtId="0" fontId="5" fillId="0" borderId="0" xfId="0" applyFont="1"/>
    <xf numFmtId="0" fontId="17" fillId="2" borderId="14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50" fillId="2" borderId="26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3" fillId="0" borderId="5" xfId="0" applyFont="1" applyBorder="1" applyAlignment="1">
      <alignment horizontal="center"/>
    </xf>
    <xf numFmtId="0" fontId="51" fillId="0" borderId="2" xfId="0" applyFont="1" applyBorder="1"/>
    <xf numFmtId="3" fontId="51" fillId="0" borderId="2" xfId="0" applyNumberFormat="1" applyFont="1" applyBorder="1"/>
    <xf numFmtId="10" fontId="51" fillId="0" borderId="2" xfId="0" applyNumberFormat="1" applyFont="1" applyBorder="1"/>
    <xf numFmtId="0" fontId="30" fillId="2" borderId="6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50" fillId="2" borderId="8" xfId="0" applyFont="1" applyFill="1" applyBorder="1" applyAlignment="1">
      <alignment horizontal="center" vertical="center" wrapText="1"/>
    </xf>
    <xf numFmtId="3" fontId="0" fillId="4" borderId="2" xfId="0" applyNumberFormat="1" applyFill="1" applyBorder="1"/>
    <xf numFmtId="10" fontId="0" fillId="0" borderId="2" xfId="0" applyNumberFormat="1" applyBorder="1"/>
    <xf numFmtId="3" fontId="0" fillId="0" borderId="2" xfId="0" applyNumberFormat="1" applyBorder="1"/>
    <xf numFmtId="10" fontId="0" fillId="4" borderId="2" xfId="0" applyNumberFormat="1" applyFill="1" applyBorder="1"/>
    <xf numFmtId="4" fontId="0" fillId="0" borderId="2" xfId="0" applyNumberFormat="1" applyBorder="1"/>
    <xf numFmtId="9" fontId="0" fillId="0" borderId="2" xfId="0" applyNumberFormat="1" applyBorder="1"/>
    <xf numFmtId="10" fontId="54" fillId="0" borderId="2" xfId="3" applyNumberFormat="1" applyFont="1" applyBorder="1"/>
    <xf numFmtId="3" fontId="54" fillId="0" borderId="2" xfId="0" applyNumberFormat="1" applyFont="1" applyBorder="1"/>
    <xf numFmtId="0" fontId="48" fillId="0" borderId="7" xfId="0" applyFont="1" applyBorder="1" applyAlignment="1">
      <alignment vertical="center"/>
    </xf>
    <xf numFmtId="3" fontId="48" fillId="0" borderId="7" xfId="0" applyNumberFormat="1" applyFont="1" applyBorder="1" applyAlignment="1">
      <alignment horizontal="center" vertical="center"/>
    </xf>
    <xf numFmtId="17" fontId="48" fillId="0" borderId="7" xfId="0" applyNumberFormat="1" applyFont="1" applyBorder="1" applyAlignment="1">
      <alignment horizontal="center" vertical="center"/>
    </xf>
    <xf numFmtId="8" fontId="7" fillId="4" borderId="2" xfId="0" applyNumberFormat="1" applyFont="1" applyFill="1" applyBorder="1" applyAlignment="1">
      <alignment vertical="center"/>
    </xf>
    <xf numFmtId="0" fontId="49" fillId="0" borderId="0" xfId="0" applyFont="1"/>
    <xf numFmtId="0" fontId="11" fillId="0" borderId="2" xfId="0" applyFont="1" applyBorder="1" applyAlignment="1">
      <alignment horizontal="right" vertic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44" fontId="4" fillId="2" borderId="2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11" fillId="4" borderId="2" xfId="0" applyFont="1" applyFill="1" applyBorder="1" applyAlignment="1">
      <alignment horizontal="right" vertical="center"/>
    </xf>
    <xf numFmtId="0" fontId="6" fillId="3" borderId="8" xfId="0" applyFont="1" applyFill="1" applyBorder="1" applyAlignment="1">
      <alignment vertical="center"/>
    </xf>
    <xf numFmtId="2" fontId="7" fillId="0" borderId="2" xfId="0" applyNumberFormat="1" applyFont="1" applyBorder="1" applyAlignment="1">
      <alignment horizontal="left" vertical="top"/>
    </xf>
    <xf numFmtId="3" fontId="11" fillId="0" borderId="2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8" fontId="7" fillId="0" borderId="2" xfId="2" applyNumberFormat="1" applyFont="1" applyBorder="1" applyAlignment="1">
      <alignment horizontal="left" vertical="center" wrapText="1"/>
    </xf>
    <xf numFmtId="0" fontId="10" fillId="0" borderId="0" xfId="2" applyFont="1" applyAlignment="1">
      <alignment vertical="center"/>
    </xf>
    <xf numFmtId="0" fontId="1" fillId="5" borderId="4" xfId="0" applyFont="1" applyFill="1" applyBorder="1" applyAlignment="1">
      <alignment vertical="center"/>
    </xf>
    <xf numFmtId="3" fontId="6" fillId="3" borderId="4" xfId="0" applyNumberFormat="1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left" vertical="top"/>
    </xf>
    <xf numFmtId="0" fontId="4" fillId="2" borderId="2" xfId="0" applyFont="1" applyFill="1" applyBorder="1" applyAlignment="1">
      <alignment horizontal="right" vertical="center"/>
    </xf>
    <xf numFmtId="3" fontId="11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18" fillId="3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5" fillId="0" borderId="3" xfId="0" applyFont="1" applyBorder="1" applyAlignment="1">
      <alignment horizontal="right" vertical="center"/>
    </xf>
    <xf numFmtId="0" fontId="25" fillId="0" borderId="4" xfId="0" applyFont="1" applyBorder="1" applyAlignment="1">
      <alignment horizontal="right" vertical="center"/>
    </xf>
    <xf numFmtId="0" fontId="25" fillId="0" borderId="8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5" fillId="0" borderId="16" xfId="0" applyFont="1" applyBorder="1" applyAlignment="1">
      <alignment horizontal="right" vertical="center"/>
    </xf>
    <xf numFmtId="0" fontId="25" fillId="0" borderId="17" xfId="0" applyFont="1" applyBorder="1" applyAlignment="1">
      <alignment horizontal="right" vertical="center"/>
    </xf>
    <xf numFmtId="0" fontId="25" fillId="0" borderId="18" xfId="0" applyFont="1" applyBorder="1" applyAlignment="1">
      <alignment horizontal="right" vertical="center"/>
    </xf>
    <xf numFmtId="0" fontId="25" fillId="0" borderId="9" xfId="0" applyFont="1" applyBorder="1" applyAlignment="1">
      <alignment horizontal="right" vertical="center"/>
    </xf>
    <xf numFmtId="0" fontId="25" fillId="0" borderId="1" xfId="0" applyFont="1" applyBorder="1" applyAlignment="1">
      <alignment horizontal="right" vertical="center"/>
    </xf>
    <xf numFmtId="0" fontId="25" fillId="0" borderId="10" xfId="0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  <xf numFmtId="0" fontId="52" fillId="0" borderId="0" xfId="0" applyFont="1" applyAlignment="1">
      <alignment horizontal="center"/>
    </xf>
    <xf numFmtId="0" fontId="50" fillId="2" borderId="20" xfId="0" applyFont="1" applyFill="1" applyBorder="1" applyAlignment="1">
      <alignment horizontal="center" vertical="center" wrapText="1"/>
    </xf>
    <xf numFmtId="0" fontId="50" fillId="2" borderId="23" xfId="0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 wrapText="1"/>
    </xf>
    <xf numFmtId="0" fontId="50" fillId="2" borderId="21" xfId="0" applyFont="1" applyFill="1" applyBorder="1" applyAlignment="1">
      <alignment horizontal="center"/>
    </xf>
    <xf numFmtId="0" fontId="50" fillId="2" borderId="22" xfId="0" applyFont="1" applyFill="1" applyBorder="1" applyAlignment="1">
      <alignment horizontal="center"/>
    </xf>
    <xf numFmtId="0" fontId="28" fillId="3" borderId="25" xfId="0" applyFont="1" applyFill="1" applyBorder="1" applyAlignment="1">
      <alignment horizontal="left" vertical="center"/>
    </xf>
  </cellXfs>
  <cellStyles count="195">
    <cellStyle name="Moneda" xfId="1" builtinId="4"/>
    <cellStyle name="Moneda 2" xfId="4" xr:uid="{00000000-0005-0000-0000-000001000000}"/>
    <cellStyle name="Moneda 2 2" xfId="6" xr:uid="{00000000-0005-0000-0000-000002000000}"/>
    <cellStyle name="Moneda 2 2 2" xfId="10" xr:uid="{00000000-0005-0000-0000-000002000000}"/>
    <cellStyle name="Moneda 2 2 2 2" xfId="22" xr:uid="{00000000-0005-0000-0000-000002000000}"/>
    <cellStyle name="Moneda 2 2 2 2 2" xfId="46" xr:uid="{00000000-0005-0000-0000-000002000000}"/>
    <cellStyle name="Moneda 2 2 2 2 2 2" xfId="94" xr:uid="{00000000-0005-0000-0000-000002000000}"/>
    <cellStyle name="Moneda 2 2 2 2 2 2 2" xfId="190" xr:uid="{960E9E51-22D2-46DE-A74A-3248A76C2B5D}"/>
    <cellStyle name="Moneda 2 2 2 2 2 3" xfId="142" xr:uid="{8DC4085E-F680-43E6-8360-AADB6369BE5C}"/>
    <cellStyle name="Moneda 2 2 2 2 3" xfId="70" xr:uid="{00000000-0005-0000-0000-000002000000}"/>
    <cellStyle name="Moneda 2 2 2 2 3 2" xfId="166" xr:uid="{885647BE-8A75-49C8-BB34-AB183608413E}"/>
    <cellStyle name="Moneda 2 2 2 2 4" xfId="118" xr:uid="{8187C1B3-D0E5-4B9C-9438-BF369BAE0C04}"/>
    <cellStyle name="Moneda 2 2 2 3" xfId="34" xr:uid="{00000000-0005-0000-0000-000002000000}"/>
    <cellStyle name="Moneda 2 2 2 3 2" xfId="82" xr:uid="{00000000-0005-0000-0000-000002000000}"/>
    <cellStyle name="Moneda 2 2 2 3 2 2" xfId="178" xr:uid="{498DC5F6-EE4B-48E1-8223-0D9BC07288B0}"/>
    <cellStyle name="Moneda 2 2 2 3 3" xfId="130" xr:uid="{FCEDABB1-2B0A-491E-B89F-5E2B0CA531DC}"/>
    <cellStyle name="Moneda 2 2 2 4" xfId="58" xr:uid="{00000000-0005-0000-0000-000002000000}"/>
    <cellStyle name="Moneda 2 2 2 4 2" xfId="154" xr:uid="{715F0BA1-2521-4A67-B11F-FBA06CD59D2B}"/>
    <cellStyle name="Moneda 2 2 2 5" xfId="106" xr:uid="{522A4723-896B-4720-BF4C-67C47EDA2DAA}"/>
    <cellStyle name="Moneda 2 2 3" xfId="14" xr:uid="{00000000-0005-0000-0000-000002000000}"/>
    <cellStyle name="Moneda 2 2 3 2" xfId="26" xr:uid="{00000000-0005-0000-0000-000002000000}"/>
    <cellStyle name="Moneda 2 2 3 2 2" xfId="50" xr:uid="{00000000-0005-0000-0000-000002000000}"/>
    <cellStyle name="Moneda 2 2 3 2 2 2" xfId="98" xr:uid="{00000000-0005-0000-0000-000002000000}"/>
    <cellStyle name="Moneda 2 2 3 2 2 2 2" xfId="194" xr:uid="{86FED3E9-FDB5-4C83-9ED8-0CB06C272238}"/>
    <cellStyle name="Moneda 2 2 3 2 2 3" xfId="146" xr:uid="{4878F36C-454D-42FE-85CA-6CF7E45935D1}"/>
    <cellStyle name="Moneda 2 2 3 2 3" xfId="74" xr:uid="{00000000-0005-0000-0000-000002000000}"/>
    <cellStyle name="Moneda 2 2 3 2 3 2" xfId="170" xr:uid="{A8923200-7970-40F1-885B-C5B116C5D413}"/>
    <cellStyle name="Moneda 2 2 3 2 4" xfId="122" xr:uid="{3C119A22-9456-45A6-A8F8-EC971D747835}"/>
    <cellStyle name="Moneda 2 2 3 3" xfId="38" xr:uid="{00000000-0005-0000-0000-000002000000}"/>
    <cellStyle name="Moneda 2 2 3 3 2" xfId="86" xr:uid="{00000000-0005-0000-0000-000002000000}"/>
    <cellStyle name="Moneda 2 2 3 3 2 2" xfId="182" xr:uid="{A967FA9A-0240-4389-8BEA-6151A7AB0DDE}"/>
    <cellStyle name="Moneda 2 2 3 3 3" xfId="134" xr:uid="{BBC8E1A5-1B90-4214-877E-202266CE9D2D}"/>
    <cellStyle name="Moneda 2 2 3 4" xfId="62" xr:uid="{00000000-0005-0000-0000-000002000000}"/>
    <cellStyle name="Moneda 2 2 3 4 2" xfId="158" xr:uid="{344A4035-02FE-4A92-8519-8B2F54F9DA97}"/>
    <cellStyle name="Moneda 2 2 3 5" xfId="110" xr:uid="{04346CC4-D6F5-48B5-9B7D-9A7DA755F335}"/>
    <cellStyle name="Moneda 2 2 4" xfId="18" xr:uid="{00000000-0005-0000-0000-000002000000}"/>
    <cellStyle name="Moneda 2 2 4 2" xfId="42" xr:uid="{00000000-0005-0000-0000-000002000000}"/>
    <cellStyle name="Moneda 2 2 4 2 2" xfId="90" xr:uid="{00000000-0005-0000-0000-000002000000}"/>
    <cellStyle name="Moneda 2 2 4 2 2 2" xfId="186" xr:uid="{1FF2B25D-BF3D-4115-829F-EF839E0AF4B4}"/>
    <cellStyle name="Moneda 2 2 4 2 3" xfId="138" xr:uid="{84BDC921-F6F1-4FEF-8D35-590729D33E65}"/>
    <cellStyle name="Moneda 2 2 4 3" xfId="66" xr:uid="{00000000-0005-0000-0000-000002000000}"/>
    <cellStyle name="Moneda 2 2 4 3 2" xfId="162" xr:uid="{DA88CEA6-A42B-43BA-8567-FF26561EE6BC}"/>
    <cellStyle name="Moneda 2 2 4 4" xfId="114" xr:uid="{FD71A2F8-D27E-419B-9D61-3B2577314CC8}"/>
    <cellStyle name="Moneda 2 2 5" xfId="30" xr:uid="{00000000-0005-0000-0000-000002000000}"/>
    <cellStyle name="Moneda 2 2 5 2" xfId="78" xr:uid="{00000000-0005-0000-0000-000002000000}"/>
    <cellStyle name="Moneda 2 2 5 2 2" xfId="174" xr:uid="{EF901234-95CE-44D1-B962-115EB9B6E69B}"/>
    <cellStyle name="Moneda 2 2 5 3" xfId="126" xr:uid="{30FBCA13-23A9-4D8C-BED9-9C6F857C0575}"/>
    <cellStyle name="Moneda 2 2 6" xfId="54" xr:uid="{00000000-0005-0000-0000-000002000000}"/>
    <cellStyle name="Moneda 2 2 6 2" xfId="150" xr:uid="{020F4861-9EA6-4616-B56F-C9994B6DDC43}"/>
    <cellStyle name="Moneda 2 2 7" xfId="102" xr:uid="{9E27E75C-628F-4C43-AD98-C6136A2E0CC6}"/>
    <cellStyle name="Moneda 2 3" xfId="8" xr:uid="{00000000-0005-0000-0000-000001000000}"/>
    <cellStyle name="Moneda 2 3 2" xfId="20" xr:uid="{00000000-0005-0000-0000-000001000000}"/>
    <cellStyle name="Moneda 2 3 2 2" xfId="44" xr:uid="{00000000-0005-0000-0000-000001000000}"/>
    <cellStyle name="Moneda 2 3 2 2 2" xfId="92" xr:uid="{00000000-0005-0000-0000-000001000000}"/>
    <cellStyle name="Moneda 2 3 2 2 2 2" xfId="188" xr:uid="{81E9AE11-998D-4F1B-B35E-933BF6D4E76E}"/>
    <cellStyle name="Moneda 2 3 2 2 3" xfId="140" xr:uid="{F2FEAA16-5641-4667-A657-E692202D94B5}"/>
    <cellStyle name="Moneda 2 3 2 3" xfId="68" xr:uid="{00000000-0005-0000-0000-000001000000}"/>
    <cellStyle name="Moneda 2 3 2 3 2" xfId="164" xr:uid="{D888657C-4758-44EB-B387-C0705FA81D58}"/>
    <cellStyle name="Moneda 2 3 2 4" xfId="116" xr:uid="{DE77D327-14B8-4DF6-85D0-2E338ED59841}"/>
    <cellStyle name="Moneda 2 3 3" xfId="32" xr:uid="{00000000-0005-0000-0000-000001000000}"/>
    <cellStyle name="Moneda 2 3 3 2" xfId="80" xr:uid="{00000000-0005-0000-0000-000001000000}"/>
    <cellStyle name="Moneda 2 3 3 2 2" xfId="176" xr:uid="{B3D53B4D-9033-4D18-9C53-2FCC41DB258B}"/>
    <cellStyle name="Moneda 2 3 3 3" xfId="128" xr:uid="{1D2D156F-2025-4604-A52D-6AC3FDBCD8AC}"/>
    <cellStyle name="Moneda 2 3 4" xfId="56" xr:uid="{00000000-0005-0000-0000-000001000000}"/>
    <cellStyle name="Moneda 2 3 4 2" xfId="152" xr:uid="{6148AD3B-5308-4B2E-BFB8-FB9FFAF93022}"/>
    <cellStyle name="Moneda 2 3 5" xfId="104" xr:uid="{3B18818D-758F-4E2B-BD57-184438A461E2}"/>
    <cellStyle name="Moneda 2 4" xfId="12" xr:uid="{00000000-0005-0000-0000-000001000000}"/>
    <cellStyle name="Moneda 2 4 2" xfId="24" xr:uid="{00000000-0005-0000-0000-000001000000}"/>
    <cellStyle name="Moneda 2 4 2 2" xfId="48" xr:uid="{00000000-0005-0000-0000-000001000000}"/>
    <cellStyle name="Moneda 2 4 2 2 2" xfId="96" xr:uid="{00000000-0005-0000-0000-000001000000}"/>
    <cellStyle name="Moneda 2 4 2 2 2 2" xfId="192" xr:uid="{B91A5FC7-3409-4186-A6FF-6DE01D90CD0D}"/>
    <cellStyle name="Moneda 2 4 2 2 3" xfId="144" xr:uid="{5770E47B-22AB-4289-8B1D-0E0DA04935F0}"/>
    <cellStyle name="Moneda 2 4 2 3" xfId="72" xr:uid="{00000000-0005-0000-0000-000001000000}"/>
    <cellStyle name="Moneda 2 4 2 3 2" xfId="168" xr:uid="{BD0FFBEE-462A-4ACC-BCCD-081FA2933FC7}"/>
    <cellStyle name="Moneda 2 4 2 4" xfId="120" xr:uid="{A9C30D5B-2C78-45B9-8873-8DAA371CC8B1}"/>
    <cellStyle name="Moneda 2 4 3" xfId="36" xr:uid="{00000000-0005-0000-0000-000001000000}"/>
    <cellStyle name="Moneda 2 4 3 2" xfId="84" xr:uid="{00000000-0005-0000-0000-000001000000}"/>
    <cellStyle name="Moneda 2 4 3 2 2" xfId="180" xr:uid="{EF417D45-743E-45B6-8828-4B404513C6C7}"/>
    <cellStyle name="Moneda 2 4 3 3" xfId="132" xr:uid="{858AB9E6-0155-4C54-A32A-2B591465428F}"/>
    <cellStyle name="Moneda 2 4 4" xfId="60" xr:uid="{00000000-0005-0000-0000-000001000000}"/>
    <cellStyle name="Moneda 2 4 4 2" xfId="156" xr:uid="{A9327864-E751-4B80-9B52-72236695624C}"/>
    <cellStyle name="Moneda 2 4 5" xfId="108" xr:uid="{E44D9B36-E99F-4C36-B632-F03B4F182B99}"/>
    <cellStyle name="Moneda 2 5" xfId="16" xr:uid="{00000000-0005-0000-0000-000001000000}"/>
    <cellStyle name="Moneda 2 5 2" xfId="40" xr:uid="{00000000-0005-0000-0000-000001000000}"/>
    <cellStyle name="Moneda 2 5 2 2" xfId="88" xr:uid="{00000000-0005-0000-0000-000001000000}"/>
    <cellStyle name="Moneda 2 5 2 2 2" xfId="184" xr:uid="{6A96B21A-6ADC-44A7-9656-4D61839549A1}"/>
    <cellStyle name="Moneda 2 5 2 3" xfId="136" xr:uid="{E08D3BA9-3F62-4EE6-8359-2F54B946435F}"/>
    <cellStyle name="Moneda 2 5 3" xfId="64" xr:uid="{00000000-0005-0000-0000-000001000000}"/>
    <cellStyle name="Moneda 2 5 3 2" xfId="160" xr:uid="{3D34402C-5B9A-417C-839D-A38748078CDC}"/>
    <cellStyle name="Moneda 2 5 4" xfId="112" xr:uid="{C6D4FE1C-F9ED-481C-A5F9-20A534F77E97}"/>
    <cellStyle name="Moneda 2 6" xfId="28" xr:uid="{00000000-0005-0000-0000-000001000000}"/>
    <cellStyle name="Moneda 2 6 2" xfId="76" xr:uid="{00000000-0005-0000-0000-000001000000}"/>
    <cellStyle name="Moneda 2 6 2 2" xfId="172" xr:uid="{13C2B711-9228-4A7F-A6BF-B5EFF306E237}"/>
    <cellStyle name="Moneda 2 6 3" xfId="124" xr:uid="{96DFFA44-62E1-4081-ABAF-42FAFCC47D31}"/>
    <cellStyle name="Moneda 2 7" xfId="52" xr:uid="{00000000-0005-0000-0000-000001000000}"/>
    <cellStyle name="Moneda 2 7 2" xfId="148" xr:uid="{A9191354-570A-416D-AA01-43BA3D2CF5EB}"/>
    <cellStyle name="Moneda 2 8" xfId="100" xr:uid="{D25C9DFC-C737-4E86-A376-4F208CF2817C}"/>
    <cellStyle name="Moneda 3" xfId="5" xr:uid="{00000000-0005-0000-0000-000003000000}"/>
    <cellStyle name="Moneda 3 2" xfId="9" xr:uid="{00000000-0005-0000-0000-000003000000}"/>
    <cellStyle name="Moneda 3 2 2" xfId="21" xr:uid="{00000000-0005-0000-0000-000003000000}"/>
    <cellStyle name="Moneda 3 2 2 2" xfId="45" xr:uid="{00000000-0005-0000-0000-000003000000}"/>
    <cellStyle name="Moneda 3 2 2 2 2" xfId="93" xr:uid="{00000000-0005-0000-0000-000003000000}"/>
    <cellStyle name="Moneda 3 2 2 2 2 2" xfId="189" xr:uid="{9492410C-69B9-4CEF-B5D8-82B6A69B3C16}"/>
    <cellStyle name="Moneda 3 2 2 2 3" xfId="141" xr:uid="{16ECA2F8-D94D-42BA-8102-954EC66335A0}"/>
    <cellStyle name="Moneda 3 2 2 3" xfId="69" xr:uid="{00000000-0005-0000-0000-000003000000}"/>
    <cellStyle name="Moneda 3 2 2 3 2" xfId="165" xr:uid="{079F9F19-FD9F-40E2-B896-57E7CC3FAF75}"/>
    <cellStyle name="Moneda 3 2 2 4" xfId="117" xr:uid="{533CD715-6655-4A66-86BE-97890D158BDF}"/>
    <cellStyle name="Moneda 3 2 3" xfId="33" xr:uid="{00000000-0005-0000-0000-000003000000}"/>
    <cellStyle name="Moneda 3 2 3 2" xfId="81" xr:uid="{00000000-0005-0000-0000-000003000000}"/>
    <cellStyle name="Moneda 3 2 3 2 2" xfId="177" xr:uid="{80EF8A64-0CAC-4643-8B3A-EB34C9239E93}"/>
    <cellStyle name="Moneda 3 2 3 3" xfId="129" xr:uid="{B48B4825-CB87-4CA5-BEAC-C307258BB468}"/>
    <cellStyle name="Moneda 3 2 4" xfId="57" xr:uid="{00000000-0005-0000-0000-000003000000}"/>
    <cellStyle name="Moneda 3 2 4 2" xfId="153" xr:uid="{BB4BA36B-622E-4D94-B2EF-3C0CF1852A54}"/>
    <cellStyle name="Moneda 3 2 5" xfId="105" xr:uid="{87754E05-0D69-4193-A6CC-7169F5613FE9}"/>
    <cellStyle name="Moneda 3 3" xfId="13" xr:uid="{00000000-0005-0000-0000-000003000000}"/>
    <cellStyle name="Moneda 3 3 2" xfId="25" xr:uid="{00000000-0005-0000-0000-000003000000}"/>
    <cellStyle name="Moneda 3 3 2 2" xfId="49" xr:uid="{00000000-0005-0000-0000-000003000000}"/>
    <cellStyle name="Moneda 3 3 2 2 2" xfId="97" xr:uid="{00000000-0005-0000-0000-000003000000}"/>
    <cellStyle name="Moneda 3 3 2 2 2 2" xfId="193" xr:uid="{1B6D9025-531D-4219-85BC-8F924C681655}"/>
    <cellStyle name="Moneda 3 3 2 2 3" xfId="145" xr:uid="{06137AC6-54DD-44F4-9428-15B1D93026EE}"/>
    <cellStyle name="Moneda 3 3 2 3" xfId="73" xr:uid="{00000000-0005-0000-0000-000003000000}"/>
    <cellStyle name="Moneda 3 3 2 3 2" xfId="169" xr:uid="{D35567AA-B7AC-4D46-A8E3-1C58D498B2A4}"/>
    <cellStyle name="Moneda 3 3 2 4" xfId="121" xr:uid="{24166F94-3AE9-4CE9-8B7C-9954EF62ECF8}"/>
    <cellStyle name="Moneda 3 3 3" xfId="37" xr:uid="{00000000-0005-0000-0000-000003000000}"/>
    <cellStyle name="Moneda 3 3 3 2" xfId="85" xr:uid="{00000000-0005-0000-0000-000003000000}"/>
    <cellStyle name="Moneda 3 3 3 2 2" xfId="181" xr:uid="{7E5BFE40-CD20-4008-9C10-BD69C2BA3F47}"/>
    <cellStyle name="Moneda 3 3 3 3" xfId="133" xr:uid="{EC8F6065-A1FD-4707-B8EE-ADB1CEB6E8D9}"/>
    <cellStyle name="Moneda 3 3 4" xfId="61" xr:uid="{00000000-0005-0000-0000-000003000000}"/>
    <cellStyle name="Moneda 3 3 4 2" xfId="157" xr:uid="{92835A1A-4828-45A3-9947-393E8ECB94B4}"/>
    <cellStyle name="Moneda 3 3 5" xfId="109" xr:uid="{26CA451B-6D1A-4595-A105-5AA02EA20978}"/>
    <cellStyle name="Moneda 3 4" xfId="17" xr:uid="{00000000-0005-0000-0000-000003000000}"/>
    <cellStyle name="Moneda 3 4 2" xfId="41" xr:uid="{00000000-0005-0000-0000-000003000000}"/>
    <cellStyle name="Moneda 3 4 2 2" xfId="89" xr:uid="{00000000-0005-0000-0000-000003000000}"/>
    <cellStyle name="Moneda 3 4 2 2 2" xfId="185" xr:uid="{81894E60-9E52-4D84-A596-BD91A7568E8F}"/>
    <cellStyle name="Moneda 3 4 2 3" xfId="137" xr:uid="{AC4C34EB-582F-4052-9260-3CBF39FC66DE}"/>
    <cellStyle name="Moneda 3 4 3" xfId="65" xr:uid="{00000000-0005-0000-0000-000003000000}"/>
    <cellStyle name="Moneda 3 4 3 2" xfId="161" xr:uid="{7072B0CE-9E75-4010-844C-17EF15AEDCB5}"/>
    <cellStyle name="Moneda 3 4 4" xfId="113" xr:uid="{FD28FB4C-9D99-4130-A9E1-5EC43082D35B}"/>
    <cellStyle name="Moneda 3 5" xfId="29" xr:uid="{00000000-0005-0000-0000-000003000000}"/>
    <cellStyle name="Moneda 3 5 2" xfId="77" xr:uid="{00000000-0005-0000-0000-000003000000}"/>
    <cellStyle name="Moneda 3 5 2 2" xfId="173" xr:uid="{6FFC90E2-9A7A-485C-80ED-669C1BE330EC}"/>
    <cellStyle name="Moneda 3 5 3" xfId="125" xr:uid="{5A3CD4D1-D64F-4570-8047-F5C466BF4DF5}"/>
    <cellStyle name="Moneda 3 6" xfId="53" xr:uid="{00000000-0005-0000-0000-000003000000}"/>
    <cellStyle name="Moneda 3 6 2" xfId="149" xr:uid="{B6A7EA34-C1E5-4C76-8198-C204D8ED8C32}"/>
    <cellStyle name="Moneda 3 7" xfId="101" xr:uid="{25ECC8E5-28ED-4DD0-9A94-449DB07B2567}"/>
    <cellStyle name="Moneda 4" xfId="7" xr:uid="{00000000-0005-0000-0000-000034000000}"/>
    <cellStyle name="Moneda 4 2" xfId="19" xr:uid="{00000000-0005-0000-0000-000034000000}"/>
    <cellStyle name="Moneda 4 2 2" xfId="43" xr:uid="{00000000-0005-0000-0000-000034000000}"/>
    <cellStyle name="Moneda 4 2 2 2" xfId="91" xr:uid="{00000000-0005-0000-0000-000034000000}"/>
    <cellStyle name="Moneda 4 2 2 2 2" xfId="187" xr:uid="{A0936441-4E0D-4395-9E68-DC07352BAC47}"/>
    <cellStyle name="Moneda 4 2 2 3" xfId="139" xr:uid="{D11048D3-BBD1-46DE-AEBF-1CCACF6E4CE3}"/>
    <cellStyle name="Moneda 4 2 3" xfId="67" xr:uid="{00000000-0005-0000-0000-000034000000}"/>
    <cellStyle name="Moneda 4 2 3 2" xfId="163" xr:uid="{5BB2DDA8-E27E-41F3-A60D-071C175BB12E}"/>
    <cellStyle name="Moneda 4 2 4" xfId="115" xr:uid="{45B1B217-3EF0-4910-9EDC-B0FF41CD358F}"/>
    <cellStyle name="Moneda 4 3" xfId="31" xr:uid="{00000000-0005-0000-0000-000034000000}"/>
    <cellStyle name="Moneda 4 3 2" xfId="79" xr:uid="{00000000-0005-0000-0000-000034000000}"/>
    <cellStyle name="Moneda 4 3 2 2" xfId="175" xr:uid="{80B4DA4F-CFDA-4990-9AD4-C176B5DB012B}"/>
    <cellStyle name="Moneda 4 3 3" xfId="127" xr:uid="{515FD571-D321-40DA-9112-5FA74B6D467B}"/>
    <cellStyle name="Moneda 4 4" xfId="55" xr:uid="{00000000-0005-0000-0000-000034000000}"/>
    <cellStyle name="Moneda 4 4 2" xfId="151" xr:uid="{5482F68A-F93B-4CF5-91D1-5A803794875C}"/>
    <cellStyle name="Moneda 4 5" xfId="103" xr:uid="{DEDFC620-34B1-44BC-8D33-A0F7906E890E}"/>
    <cellStyle name="Moneda 5" xfId="11" xr:uid="{00000000-0005-0000-0000-00003A000000}"/>
    <cellStyle name="Moneda 5 2" xfId="23" xr:uid="{00000000-0005-0000-0000-00003A000000}"/>
    <cellStyle name="Moneda 5 2 2" xfId="47" xr:uid="{00000000-0005-0000-0000-00003A000000}"/>
    <cellStyle name="Moneda 5 2 2 2" xfId="95" xr:uid="{00000000-0005-0000-0000-00003A000000}"/>
    <cellStyle name="Moneda 5 2 2 2 2" xfId="191" xr:uid="{5CB6B552-CA0C-45DE-8377-1B0C5DEC97C1}"/>
    <cellStyle name="Moneda 5 2 2 3" xfId="143" xr:uid="{2D18604A-0A1E-4434-9C19-F66FCDBED51F}"/>
    <cellStyle name="Moneda 5 2 3" xfId="71" xr:uid="{00000000-0005-0000-0000-00003A000000}"/>
    <cellStyle name="Moneda 5 2 3 2" xfId="167" xr:uid="{2047915B-35FF-48B6-B586-B0CF942CA68C}"/>
    <cellStyle name="Moneda 5 2 4" xfId="119" xr:uid="{3CF55A0F-62F9-489C-A830-838BA2AEC916}"/>
    <cellStyle name="Moneda 5 3" xfId="35" xr:uid="{00000000-0005-0000-0000-00003A000000}"/>
    <cellStyle name="Moneda 5 3 2" xfId="83" xr:uid="{00000000-0005-0000-0000-00003A000000}"/>
    <cellStyle name="Moneda 5 3 2 2" xfId="179" xr:uid="{ADEEE230-142B-4E2F-8DFB-D79115FE8664}"/>
    <cellStyle name="Moneda 5 3 3" xfId="131" xr:uid="{8011890E-2582-4E50-8981-D9EB634686B6}"/>
    <cellStyle name="Moneda 5 4" xfId="59" xr:uid="{00000000-0005-0000-0000-00003A000000}"/>
    <cellStyle name="Moneda 5 4 2" xfId="155" xr:uid="{0E16D900-7CEF-4DB6-989E-DAD6475DEF69}"/>
    <cellStyle name="Moneda 5 5" xfId="107" xr:uid="{6DDB2B05-ECF8-428F-8542-85B968130C52}"/>
    <cellStyle name="Moneda 6" xfId="15" xr:uid="{00000000-0005-0000-0000-00003C000000}"/>
    <cellStyle name="Moneda 6 2" xfId="39" xr:uid="{00000000-0005-0000-0000-00003C000000}"/>
    <cellStyle name="Moneda 6 2 2" xfId="87" xr:uid="{00000000-0005-0000-0000-00003C000000}"/>
    <cellStyle name="Moneda 6 2 2 2" xfId="183" xr:uid="{C10E38D0-0E28-4357-9EF3-8C72191ED268}"/>
    <cellStyle name="Moneda 6 2 3" xfId="135" xr:uid="{2CB40194-0F29-48AA-9C62-03FE6080F53F}"/>
    <cellStyle name="Moneda 6 3" xfId="63" xr:uid="{00000000-0005-0000-0000-00003C000000}"/>
    <cellStyle name="Moneda 6 3 2" xfId="159" xr:uid="{E836E862-EC8A-41F9-9B35-B46E4591161C}"/>
    <cellStyle name="Moneda 6 4" xfId="111" xr:uid="{DF3EEC06-30D8-440D-8231-B376E2C8FA13}"/>
    <cellStyle name="Moneda 7" xfId="27" xr:uid="{00000000-0005-0000-0000-000048000000}"/>
    <cellStyle name="Moneda 7 2" xfId="75" xr:uid="{00000000-0005-0000-0000-000048000000}"/>
    <cellStyle name="Moneda 7 2 2" xfId="171" xr:uid="{305DD5E1-9B3F-4FC1-9307-364E5343DBB7}"/>
    <cellStyle name="Moneda 7 3" xfId="123" xr:uid="{6BB04A43-FECD-42B2-A37F-0378A7E0F3FF}"/>
    <cellStyle name="Moneda 8" xfId="51" xr:uid="{00000000-0005-0000-0000-000060000000}"/>
    <cellStyle name="Moneda 8 2" xfId="147" xr:uid="{CA1240FB-6C39-4CD1-8EB4-4E38E231281D}"/>
    <cellStyle name="Moneda 9" xfId="99" xr:uid="{17ADD767-7B74-434C-8E24-E20969D16A15}"/>
    <cellStyle name="Normal" xfId="0" builtinId="0"/>
    <cellStyle name="Normal 2" xfId="2" xr:uid="{00000000-0005-0000-0000-000005000000}"/>
    <cellStyle name="Normal 2 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17</xdr:row>
      <xdr:rowOff>66675</xdr:rowOff>
    </xdr:from>
    <xdr:to>
      <xdr:col>0</xdr:col>
      <xdr:colOff>161925</xdr:colOff>
      <xdr:row>17</xdr:row>
      <xdr:rowOff>142875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FD7FE5F1-0866-4894-AA7A-F10B35151840}"/>
            </a:ext>
          </a:extLst>
        </xdr:cNvPr>
        <xdr:cNvSpPr/>
      </xdr:nvSpPr>
      <xdr:spPr>
        <a:xfrm>
          <a:off x="47625" y="3400425"/>
          <a:ext cx="114300" cy="76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98"/>
  <sheetViews>
    <sheetView tabSelected="1" topLeftCell="A38" zoomScale="80" zoomScaleNormal="80" workbookViewId="0">
      <selection activeCell="C20" sqref="C20"/>
    </sheetView>
  </sheetViews>
  <sheetFormatPr defaultColWidth="11.42578125" defaultRowHeight="15"/>
  <cols>
    <col min="1" max="1" width="4" style="112" customWidth="1"/>
    <col min="2" max="2" width="21.5703125" style="112" customWidth="1"/>
    <col min="3" max="3" width="26" style="112" customWidth="1"/>
    <col min="4" max="4" width="40" style="112" bestFit="1" customWidth="1"/>
    <col min="5" max="5" width="21.5703125" style="112" customWidth="1"/>
    <col min="6" max="6" width="11.140625" style="112" customWidth="1"/>
    <col min="7" max="7" width="12.85546875" style="112" customWidth="1"/>
    <col min="8" max="8" width="25.42578125" style="112" customWidth="1"/>
    <col min="9" max="9" width="14.85546875" style="112" customWidth="1"/>
    <col min="10" max="10" width="24" style="112" customWidth="1"/>
    <col min="11" max="11" width="10.7109375" style="112" customWidth="1"/>
    <col min="12" max="12" width="25.140625" style="112" bestFit="1" customWidth="1"/>
    <col min="13" max="13" width="45.28515625" style="112" customWidth="1"/>
    <col min="14" max="14" width="12.140625" style="112" customWidth="1"/>
    <col min="15" max="15" width="9.140625" style="112" customWidth="1"/>
    <col min="16" max="16" width="16.85546875" style="112" customWidth="1"/>
    <col min="17" max="16384" width="11.42578125" style="112"/>
  </cols>
  <sheetData>
    <row r="1" spans="1:17" ht="15.75">
      <c r="A1" s="110"/>
      <c r="B1" s="111"/>
      <c r="C1" s="86"/>
      <c r="D1" s="86"/>
      <c r="E1" s="86"/>
      <c r="F1" s="86"/>
      <c r="G1" s="220"/>
      <c r="H1" s="86"/>
      <c r="I1" s="221"/>
      <c r="J1" s="86"/>
      <c r="K1" s="222"/>
      <c r="L1" s="86"/>
      <c r="M1" s="86"/>
      <c r="N1" s="86"/>
      <c r="O1" s="222"/>
      <c r="P1" s="86"/>
      <c r="Q1" s="223"/>
    </row>
    <row r="2" spans="1:17" s="113" customFormat="1" ht="20.25">
      <c r="A2" s="251" t="s">
        <v>0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24"/>
    </row>
    <row r="3" spans="1:17" s="114" customFormat="1" ht="18">
      <c r="A3" s="252" t="s">
        <v>1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</row>
    <row r="4" spans="1:17" s="115" customFormat="1" ht="15.75" customHeight="1">
      <c r="A4" s="225"/>
      <c r="B4" s="226" t="s">
        <v>2</v>
      </c>
      <c r="C4" s="226" t="s">
        <v>3</v>
      </c>
      <c r="D4" s="227" t="s">
        <v>4</v>
      </c>
      <c r="E4" s="226" t="s">
        <v>5</v>
      </c>
      <c r="F4" s="226" t="s">
        <v>6</v>
      </c>
      <c r="G4" s="228" t="s">
        <v>7</v>
      </c>
      <c r="H4" s="226" t="s">
        <v>8</v>
      </c>
      <c r="I4" s="229" t="s">
        <v>9</v>
      </c>
      <c r="J4" s="226" t="s">
        <v>10</v>
      </c>
      <c r="K4" s="226" t="s">
        <v>11</v>
      </c>
      <c r="L4" s="226" t="s">
        <v>12</v>
      </c>
      <c r="M4" s="226" t="s">
        <v>13</v>
      </c>
      <c r="N4" s="226" t="s">
        <v>14</v>
      </c>
      <c r="O4" s="228" t="s">
        <v>15</v>
      </c>
      <c r="P4" s="230" t="s">
        <v>16</v>
      </c>
    </row>
    <row r="5" spans="1:17" s="117" customFormat="1" ht="19.5" customHeight="1">
      <c r="A5" s="231" t="s">
        <v>17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3"/>
      <c r="O5" s="232"/>
      <c r="P5" s="234"/>
      <c r="Q5" s="116"/>
    </row>
    <row r="6" spans="1:17" s="118" customFormat="1" ht="13.5">
      <c r="A6" s="2">
        <v>1</v>
      </c>
      <c r="B6" s="3" t="s">
        <v>18</v>
      </c>
      <c r="C6" s="3" t="s">
        <v>19</v>
      </c>
      <c r="D6" s="3" t="s">
        <v>20</v>
      </c>
      <c r="E6" s="2" t="s">
        <v>21</v>
      </c>
      <c r="F6" s="4">
        <f>G6/10.764</f>
        <v>5252.6012634708286</v>
      </c>
      <c r="G6" s="4">
        <v>56539</v>
      </c>
      <c r="H6" s="2" t="s">
        <v>22</v>
      </c>
      <c r="I6" s="154" t="s">
        <v>23</v>
      </c>
      <c r="J6" s="2" t="s">
        <v>24</v>
      </c>
      <c r="K6" s="2" t="s">
        <v>25</v>
      </c>
      <c r="L6" s="3" t="s">
        <v>26</v>
      </c>
      <c r="M6" s="3" t="s">
        <v>27</v>
      </c>
      <c r="N6" s="5" t="s">
        <v>28</v>
      </c>
      <c r="O6" s="2" t="s">
        <v>29</v>
      </c>
      <c r="P6" s="150"/>
      <c r="Q6" s="18"/>
    </row>
    <row r="7" spans="1:17" s="118" customFormat="1" ht="13.5">
      <c r="A7" s="2">
        <v>2</v>
      </c>
      <c r="B7" s="3" t="s">
        <v>18</v>
      </c>
      <c r="C7" s="3" t="s">
        <v>19</v>
      </c>
      <c r="D7" s="3" t="s">
        <v>30</v>
      </c>
      <c r="E7" s="2" t="s">
        <v>21</v>
      </c>
      <c r="F7" s="4">
        <f>G7/10.764</f>
        <v>14864.362690449649</v>
      </c>
      <c r="G7" s="4">
        <v>160000</v>
      </c>
      <c r="H7" s="2" t="s">
        <v>31</v>
      </c>
      <c r="I7" s="154" t="s">
        <v>23</v>
      </c>
      <c r="J7" s="2" t="s">
        <v>24</v>
      </c>
      <c r="K7" s="2">
        <v>10</v>
      </c>
      <c r="L7" s="3" t="s">
        <v>26</v>
      </c>
      <c r="M7" s="3" t="s">
        <v>27</v>
      </c>
      <c r="N7" s="5" t="s">
        <v>28</v>
      </c>
      <c r="O7" s="2" t="s">
        <v>29</v>
      </c>
      <c r="P7" s="150"/>
      <c r="Q7" s="18"/>
    </row>
    <row r="8" spans="1:17" s="118" customFormat="1" ht="13.5">
      <c r="A8" s="2">
        <v>3</v>
      </c>
      <c r="B8" s="3" t="s">
        <v>18</v>
      </c>
      <c r="C8" s="3" t="s">
        <v>32</v>
      </c>
      <c r="D8" s="3" t="s">
        <v>33</v>
      </c>
      <c r="E8" s="2" t="s">
        <v>34</v>
      </c>
      <c r="F8" s="4">
        <f>G8/10.764</f>
        <v>1755.8528428093646</v>
      </c>
      <c r="G8" s="4">
        <v>18900</v>
      </c>
      <c r="H8" s="2" t="s">
        <v>35</v>
      </c>
      <c r="I8" s="154" t="s">
        <v>36</v>
      </c>
      <c r="J8" s="2" t="s">
        <v>24</v>
      </c>
      <c r="K8" s="2">
        <v>7</v>
      </c>
      <c r="L8" s="3" t="s">
        <v>26</v>
      </c>
      <c r="M8" s="3" t="s">
        <v>37</v>
      </c>
      <c r="N8" s="5" t="s">
        <v>28</v>
      </c>
      <c r="O8" s="2" t="s">
        <v>38</v>
      </c>
      <c r="P8" s="150"/>
      <c r="Q8" s="18"/>
    </row>
    <row r="9" spans="1:17" s="118" customFormat="1" ht="13.5">
      <c r="A9" s="2">
        <v>4</v>
      </c>
      <c r="B9" s="3" t="s">
        <v>18</v>
      </c>
      <c r="C9" s="3" t="s">
        <v>39</v>
      </c>
      <c r="D9" s="3" t="s">
        <v>40</v>
      </c>
      <c r="E9" s="2" t="s">
        <v>41</v>
      </c>
      <c r="F9" s="4">
        <f t="shared" ref="F9:F13" si="0">G9/10.764</f>
        <v>15739.687848383501</v>
      </c>
      <c r="G9" s="4">
        <v>169422</v>
      </c>
      <c r="H9" s="2" t="s">
        <v>42</v>
      </c>
      <c r="I9" s="154" t="s">
        <v>43</v>
      </c>
      <c r="J9" s="2" t="s">
        <v>44</v>
      </c>
      <c r="K9" s="2">
        <v>5</v>
      </c>
      <c r="L9" s="3" t="s">
        <v>45</v>
      </c>
      <c r="M9" s="3" t="s">
        <v>27</v>
      </c>
      <c r="N9" s="5" t="s">
        <v>28</v>
      </c>
      <c r="O9" s="2" t="s">
        <v>29</v>
      </c>
      <c r="P9" s="150"/>
      <c r="Q9" s="18"/>
    </row>
    <row r="10" spans="1:17" s="118" customFormat="1" ht="13.5">
      <c r="A10" s="2">
        <v>5</v>
      </c>
      <c r="B10" s="3" t="s">
        <v>18</v>
      </c>
      <c r="C10" s="3" t="s">
        <v>46</v>
      </c>
      <c r="D10" s="3" t="s">
        <v>47</v>
      </c>
      <c r="E10" s="2" t="s">
        <v>48</v>
      </c>
      <c r="F10" s="4">
        <f t="shared" si="0"/>
        <v>4000.0000000000005</v>
      </c>
      <c r="G10" s="4">
        <v>43056</v>
      </c>
      <c r="H10" s="2" t="s">
        <v>49</v>
      </c>
      <c r="I10" s="154" t="s">
        <v>50</v>
      </c>
      <c r="J10" s="2" t="s">
        <v>24</v>
      </c>
      <c r="K10" s="2">
        <v>7</v>
      </c>
      <c r="L10" s="3" t="s">
        <v>26</v>
      </c>
      <c r="M10" s="3" t="s">
        <v>51</v>
      </c>
      <c r="N10" s="5" t="s">
        <v>28</v>
      </c>
      <c r="O10" s="2" t="s">
        <v>29</v>
      </c>
      <c r="P10" s="150"/>
      <c r="Q10" s="18"/>
    </row>
    <row r="11" spans="1:17" s="118" customFormat="1" ht="13.5">
      <c r="A11" s="2">
        <v>6</v>
      </c>
      <c r="B11" s="3" t="s">
        <v>18</v>
      </c>
      <c r="C11" s="3" t="s">
        <v>52</v>
      </c>
      <c r="D11" s="3" t="s">
        <v>53</v>
      </c>
      <c r="E11" s="2" t="s">
        <v>54</v>
      </c>
      <c r="F11" s="4">
        <f>G11/10.764</f>
        <v>6246.9342251950948</v>
      </c>
      <c r="G11" s="4">
        <v>67242</v>
      </c>
      <c r="H11" s="2" t="s">
        <v>55</v>
      </c>
      <c r="I11" s="154" t="s">
        <v>36</v>
      </c>
      <c r="J11" s="2" t="s">
        <v>24</v>
      </c>
      <c r="K11" s="2">
        <v>3.5</v>
      </c>
      <c r="L11" s="3" t="s">
        <v>26</v>
      </c>
      <c r="M11" s="3" t="s">
        <v>56</v>
      </c>
      <c r="N11" s="5" t="s">
        <v>28</v>
      </c>
      <c r="O11" s="2" t="s">
        <v>38</v>
      </c>
      <c r="P11" s="150"/>
      <c r="Q11" s="18"/>
    </row>
    <row r="12" spans="1:17" s="118" customFormat="1" ht="13.5">
      <c r="A12" s="2">
        <v>7</v>
      </c>
      <c r="B12" s="3" t="s">
        <v>18</v>
      </c>
      <c r="C12" s="3" t="s">
        <v>57</v>
      </c>
      <c r="D12" s="3" t="s">
        <v>58</v>
      </c>
      <c r="E12" s="2" t="s">
        <v>59</v>
      </c>
      <c r="F12" s="4">
        <f>G12/10.764</f>
        <v>670.01114827201786</v>
      </c>
      <c r="G12" s="4">
        <v>7212</v>
      </c>
      <c r="H12" s="2" t="s">
        <v>60</v>
      </c>
      <c r="I12" s="154" t="s">
        <v>23</v>
      </c>
      <c r="J12" s="2" t="s">
        <v>61</v>
      </c>
      <c r="K12" s="2">
        <v>3</v>
      </c>
      <c r="L12" s="3" t="s">
        <v>26</v>
      </c>
      <c r="M12" s="3" t="s">
        <v>27</v>
      </c>
      <c r="N12" s="5" t="s">
        <v>62</v>
      </c>
      <c r="O12" s="2" t="s">
        <v>29</v>
      </c>
      <c r="P12" s="150"/>
      <c r="Q12" s="18"/>
    </row>
    <row r="13" spans="1:17" s="118" customFormat="1" ht="13.5">
      <c r="A13" s="2">
        <v>8</v>
      </c>
      <c r="B13" s="3" t="s">
        <v>18</v>
      </c>
      <c r="C13" s="3" t="s">
        <v>63</v>
      </c>
      <c r="D13" s="3" t="s">
        <v>64</v>
      </c>
      <c r="E13" s="2" t="s">
        <v>65</v>
      </c>
      <c r="F13" s="4">
        <f t="shared" si="0"/>
        <v>3518.1159420289855</v>
      </c>
      <c r="G13" s="4">
        <v>37869</v>
      </c>
      <c r="H13" s="2" t="s">
        <v>66</v>
      </c>
      <c r="I13" s="154" t="s">
        <v>67</v>
      </c>
      <c r="J13" s="2" t="s">
        <v>24</v>
      </c>
      <c r="K13" s="2">
        <v>3</v>
      </c>
      <c r="L13" s="3" t="s">
        <v>45</v>
      </c>
      <c r="M13" s="3" t="s">
        <v>27</v>
      </c>
      <c r="N13" s="5" t="s">
        <v>62</v>
      </c>
      <c r="O13" s="2" t="s">
        <v>29</v>
      </c>
      <c r="P13" s="150"/>
      <c r="Q13" s="18"/>
    </row>
    <row r="14" spans="1:17" s="118" customFormat="1" ht="13.5">
      <c r="A14" s="2">
        <v>9</v>
      </c>
      <c r="B14" s="3" t="s">
        <v>18</v>
      </c>
      <c r="C14" s="3" t="s">
        <v>68</v>
      </c>
      <c r="D14" s="3" t="s">
        <v>69</v>
      </c>
      <c r="E14" s="2" t="s">
        <v>70</v>
      </c>
      <c r="F14" s="4">
        <f t="shared" ref="F14:F47" si="1">G14/10.764</f>
        <v>10219.249349684133</v>
      </c>
      <c r="G14" s="4">
        <v>110000</v>
      </c>
      <c r="H14" s="2" t="s">
        <v>71</v>
      </c>
      <c r="I14" s="154" t="s">
        <v>72</v>
      </c>
      <c r="J14" s="2" t="s">
        <v>44</v>
      </c>
      <c r="K14" s="2">
        <v>7</v>
      </c>
      <c r="L14" s="3" t="s">
        <v>73</v>
      </c>
      <c r="M14" s="3" t="s">
        <v>27</v>
      </c>
      <c r="N14" s="5" t="s">
        <v>28</v>
      </c>
      <c r="O14" s="2" t="s">
        <v>29</v>
      </c>
      <c r="P14" s="150"/>
      <c r="Q14" s="18"/>
    </row>
    <row r="15" spans="1:17" s="118" customFormat="1" ht="13.5">
      <c r="A15" s="2">
        <v>10</v>
      </c>
      <c r="B15" s="3" t="s">
        <v>18</v>
      </c>
      <c r="C15" s="3" t="s">
        <v>74</v>
      </c>
      <c r="D15" s="3" t="s">
        <v>75</v>
      </c>
      <c r="E15" s="2" t="s">
        <v>70</v>
      </c>
      <c r="F15" s="4">
        <f t="shared" si="1"/>
        <v>5806.3916759568938</v>
      </c>
      <c r="G15" s="4">
        <v>62500</v>
      </c>
      <c r="H15" s="2" t="s">
        <v>71</v>
      </c>
      <c r="I15" s="154" t="s">
        <v>36</v>
      </c>
      <c r="J15" s="2" t="s">
        <v>76</v>
      </c>
      <c r="K15" s="2">
        <v>5</v>
      </c>
      <c r="L15" s="3" t="s">
        <v>77</v>
      </c>
      <c r="M15" s="3" t="s">
        <v>27</v>
      </c>
      <c r="N15" s="5" t="s">
        <v>28</v>
      </c>
      <c r="O15" s="2" t="s">
        <v>29</v>
      </c>
      <c r="P15" s="150"/>
      <c r="Q15" s="18"/>
    </row>
    <row r="16" spans="1:17" s="118" customFormat="1" ht="13.5">
      <c r="A16" s="2">
        <v>11</v>
      </c>
      <c r="B16" s="3" t="s">
        <v>18</v>
      </c>
      <c r="C16" s="3" t="s">
        <v>78</v>
      </c>
      <c r="D16" s="3" t="s">
        <v>79</v>
      </c>
      <c r="E16" s="2" t="s">
        <v>70</v>
      </c>
      <c r="F16" s="4">
        <f t="shared" si="1"/>
        <v>10646.59977703456</v>
      </c>
      <c r="G16" s="4">
        <v>114600</v>
      </c>
      <c r="H16" s="2" t="s">
        <v>80</v>
      </c>
      <c r="I16" s="154" t="s">
        <v>23</v>
      </c>
      <c r="J16" s="2" t="s">
        <v>24</v>
      </c>
      <c r="K16" s="2">
        <v>15</v>
      </c>
      <c r="L16" s="3" t="s">
        <v>81</v>
      </c>
      <c r="M16" s="3" t="s">
        <v>27</v>
      </c>
      <c r="N16" s="5" t="s">
        <v>28</v>
      </c>
      <c r="O16" s="2" t="s">
        <v>29</v>
      </c>
      <c r="P16" s="150"/>
      <c r="Q16" s="18"/>
    </row>
    <row r="17" spans="1:16" s="118" customFormat="1" ht="13.5">
      <c r="A17" s="2">
        <v>12</v>
      </c>
      <c r="B17" s="3" t="s">
        <v>18</v>
      </c>
      <c r="C17" s="3" t="s">
        <v>82</v>
      </c>
      <c r="D17" s="3" t="s">
        <v>83</v>
      </c>
      <c r="E17" s="2" t="s">
        <v>84</v>
      </c>
      <c r="F17" s="4">
        <f t="shared" si="1"/>
        <v>4169.1750278706804</v>
      </c>
      <c r="G17" s="4">
        <v>44877</v>
      </c>
      <c r="H17" s="2" t="s">
        <v>85</v>
      </c>
      <c r="I17" s="154" t="s">
        <v>36</v>
      </c>
      <c r="J17" s="2" t="s">
        <v>24</v>
      </c>
      <c r="K17" s="2">
        <v>5</v>
      </c>
      <c r="L17" s="3" t="s">
        <v>77</v>
      </c>
      <c r="M17" s="3" t="s">
        <v>37</v>
      </c>
      <c r="N17" s="5" t="s">
        <v>62</v>
      </c>
      <c r="O17" s="2" t="s">
        <v>86</v>
      </c>
      <c r="P17" s="150"/>
    </row>
    <row r="18" spans="1:16" s="118" customFormat="1" ht="13.5">
      <c r="A18" s="2">
        <v>13</v>
      </c>
      <c r="B18" s="3" t="s">
        <v>18</v>
      </c>
      <c r="C18" s="3" t="s">
        <v>52</v>
      </c>
      <c r="D18" s="3" t="s">
        <v>83</v>
      </c>
      <c r="E18" s="2" t="s">
        <v>84</v>
      </c>
      <c r="F18" s="4">
        <f t="shared" si="1"/>
        <v>1257.9895949461168</v>
      </c>
      <c r="G18" s="4">
        <v>13541</v>
      </c>
      <c r="H18" s="2" t="s">
        <v>87</v>
      </c>
      <c r="I18" s="154" t="s">
        <v>88</v>
      </c>
      <c r="J18" s="2" t="s">
        <v>24</v>
      </c>
      <c r="K18" s="2">
        <v>3</v>
      </c>
      <c r="L18" s="3" t="s">
        <v>26</v>
      </c>
      <c r="M18" s="3" t="s">
        <v>27</v>
      </c>
      <c r="N18" s="5" t="s">
        <v>62</v>
      </c>
      <c r="O18" s="2" t="s">
        <v>86</v>
      </c>
      <c r="P18" s="150"/>
    </row>
    <row r="19" spans="1:16" s="118" customFormat="1" ht="13.5">
      <c r="A19" s="2">
        <v>14</v>
      </c>
      <c r="B19" s="3" t="s">
        <v>18</v>
      </c>
      <c r="C19" s="3" t="s">
        <v>89</v>
      </c>
      <c r="D19" s="3" t="s">
        <v>83</v>
      </c>
      <c r="E19" s="2" t="s">
        <v>84</v>
      </c>
      <c r="F19" s="4">
        <f>G19/10.764</f>
        <v>4081.0107766629508</v>
      </c>
      <c r="G19" s="4">
        <v>43928</v>
      </c>
      <c r="H19" s="2" t="s">
        <v>90</v>
      </c>
      <c r="I19" s="154" t="s">
        <v>91</v>
      </c>
      <c r="J19" s="2" t="s">
        <v>24</v>
      </c>
      <c r="K19" s="2">
        <v>1</v>
      </c>
      <c r="L19" s="3" t="s">
        <v>26</v>
      </c>
      <c r="M19" s="3" t="s">
        <v>37</v>
      </c>
      <c r="N19" s="5" t="s">
        <v>62</v>
      </c>
      <c r="O19" s="2" t="s">
        <v>86</v>
      </c>
      <c r="P19" s="150"/>
    </row>
    <row r="20" spans="1:16" s="118" customFormat="1" ht="13.5">
      <c r="A20" s="2">
        <v>15</v>
      </c>
      <c r="B20" s="3" t="s">
        <v>18</v>
      </c>
      <c r="C20" s="3" t="s">
        <v>89</v>
      </c>
      <c r="D20" s="3" t="s">
        <v>83</v>
      </c>
      <c r="E20" s="2" t="s">
        <v>84</v>
      </c>
      <c r="F20" s="4">
        <f>G20/10.764</f>
        <v>8989.0375325157947</v>
      </c>
      <c r="G20" s="4">
        <v>96758</v>
      </c>
      <c r="H20" s="2" t="s">
        <v>80</v>
      </c>
      <c r="I20" s="154" t="s">
        <v>36</v>
      </c>
      <c r="J20" s="2" t="s">
        <v>24</v>
      </c>
      <c r="K20" s="2">
        <v>3</v>
      </c>
      <c r="L20" s="3" t="s">
        <v>26</v>
      </c>
      <c r="M20" s="3" t="s">
        <v>37</v>
      </c>
      <c r="N20" s="5" t="s">
        <v>62</v>
      </c>
      <c r="O20" s="2" t="s">
        <v>38</v>
      </c>
      <c r="P20" s="150"/>
    </row>
    <row r="21" spans="1:16" s="118" customFormat="1" ht="13.5">
      <c r="A21" s="2">
        <v>16</v>
      </c>
      <c r="B21" s="3" t="s">
        <v>18</v>
      </c>
      <c r="C21" s="3" t="s">
        <v>92</v>
      </c>
      <c r="D21" s="3" t="s">
        <v>93</v>
      </c>
      <c r="E21" s="2" t="s">
        <v>94</v>
      </c>
      <c r="F21" s="4">
        <f t="shared" si="1"/>
        <v>717.39130434782612</v>
      </c>
      <c r="G21" s="4">
        <v>7722</v>
      </c>
      <c r="H21" s="2" t="s">
        <v>95</v>
      </c>
      <c r="I21" s="154" t="s">
        <v>96</v>
      </c>
      <c r="J21" s="2" t="s">
        <v>97</v>
      </c>
      <c r="K21" s="2">
        <v>3</v>
      </c>
      <c r="L21" s="3" t="s">
        <v>77</v>
      </c>
      <c r="M21" s="3" t="s">
        <v>98</v>
      </c>
      <c r="N21" s="5" t="s">
        <v>62</v>
      </c>
      <c r="O21" s="2" t="s">
        <v>38</v>
      </c>
      <c r="P21" s="150"/>
    </row>
    <row r="22" spans="1:16" s="118" customFormat="1" ht="13.5">
      <c r="A22" s="2">
        <v>17</v>
      </c>
      <c r="B22" s="3" t="s">
        <v>18</v>
      </c>
      <c r="C22" s="3" t="s">
        <v>99</v>
      </c>
      <c r="D22" s="3" t="s">
        <v>100</v>
      </c>
      <c r="E22" s="2" t="s">
        <v>94</v>
      </c>
      <c r="F22" s="4">
        <f t="shared" si="1"/>
        <v>968.97064288368642</v>
      </c>
      <c r="G22" s="4">
        <v>10430</v>
      </c>
      <c r="H22" s="2" t="s">
        <v>101</v>
      </c>
      <c r="I22" s="154" t="s">
        <v>88</v>
      </c>
      <c r="J22" s="2" t="s">
        <v>97</v>
      </c>
      <c r="K22" s="2">
        <v>3</v>
      </c>
      <c r="L22" s="3" t="s">
        <v>102</v>
      </c>
      <c r="M22" s="3" t="s">
        <v>103</v>
      </c>
      <c r="N22" s="5" t="s">
        <v>62</v>
      </c>
      <c r="O22" s="2" t="s">
        <v>38</v>
      </c>
      <c r="P22" s="150"/>
    </row>
    <row r="23" spans="1:16" s="118" customFormat="1" ht="13.5">
      <c r="A23" s="2">
        <v>18</v>
      </c>
      <c r="B23" s="3" t="s">
        <v>18</v>
      </c>
      <c r="C23" s="3" t="s">
        <v>104</v>
      </c>
      <c r="D23" s="3" t="s">
        <v>100</v>
      </c>
      <c r="E23" s="2" t="s">
        <v>94</v>
      </c>
      <c r="F23" s="4">
        <f t="shared" si="1"/>
        <v>963.02489780750659</v>
      </c>
      <c r="G23" s="4">
        <v>10366</v>
      </c>
      <c r="H23" s="2" t="s">
        <v>105</v>
      </c>
      <c r="I23" s="154" t="s">
        <v>88</v>
      </c>
      <c r="J23" s="2" t="s">
        <v>24</v>
      </c>
      <c r="K23" s="2">
        <v>3</v>
      </c>
      <c r="L23" s="3" t="s">
        <v>102</v>
      </c>
      <c r="M23" s="3" t="s">
        <v>106</v>
      </c>
      <c r="N23" s="5" t="s">
        <v>62</v>
      </c>
      <c r="O23" s="2" t="s">
        <v>38</v>
      </c>
      <c r="P23" s="150"/>
    </row>
    <row r="24" spans="1:16" s="118" customFormat="1" ht="13.5">
      <c r="A24" s="2">
        <v>19</v>
      </c>
      <c r="B24" s="3" t="s">
        <v>18</v>
      </c>
      <c r="C24" s="3" t="s">
        <v>107</v>
      </c>
      <c r="D24" s="3" t="s">
        <v>100</v>
      </c>
      <c r="E24" s="2" t="s">
        <v>94</v>
      </c>
      <c r="F24" s="4">
        <f t="shared" si="1"/>
        <v>963.02489780750659</v>
      </c>
      <c r="G24" s="4">
        <v>10366</v>
      </c>
      <c r="H24" s="2" t="s">
        <v>108</v>
      </c>
      <c r="I24" s="154" t="s">
        <v>88</v>
      </c>
      <c r="J24" s="2" t="s">
        <v>24</v>
      </c>
      <c r="K24" s="2">
        <v>3</v>
      </c>
      <c r="L24" s="3" t="s">
        <v>102</v>
      </c>
      <c r="M24" s="3" t="s">
        <v>109</v>
      </c>
      <c r="N24" s="5" t="s">
        <v>62</v>
      </c>
      <c r="O24" s="2" t="s">
        <v>38</v>
      </c>
      <c r="P24" s="150"/>
    </row>
    <row r="25" spans="1:16" s="118" customFormat="1" ht="13.5">
      <c r="A25" s="2">
        <v>20</v>
      </c>
      <c r="B25" s="3" t="s">
        <v>18</v>
      </c>
      <c r="C25" s="3" t="s">
        <v>110</v>
      </c>
      <c r="D25" s="3" t="s">
        <v>100</v>
      </c>
      <c r="E25" s="2" t="s">
        <v>94</v>
      </c>
      <c r="F25" s="4">
        <f t="shared" si="1"/>
        <v>968.97064288368642</v>
      </c>
      <c r="G25" s="4">
        <v>10430</v>
      </c>
      <c r="H25" s="2" t="s">
        <v>111</v>
      </c>
      <c r="I25" s="154" t="s">
        <v>88</v>
      </c>
      <c r="J25" s="2" t="s">
        <v>24</v>
      </c>
      <c r="K25" s="2">
        <v>3</v>
      </c>
      <c r="L25" s="3" t="s">
        <v>102</v>
      </c>
      <c r="M25" s="3" t="s">
        <v>27</v>
      </c>
      <c r="N25" s="5" t="s">
        <v>62</v>
      </c>
      <c r="O25" s="2" t="s">
        <v>38</v>
      </c>
      <c r="P25" s="150"/>
    </row>
    <row r="26" spans="1:16" s="118" customFormat="1" ht="13.5">
      <c r="A26" s="2">
        <v>21</v>
      </c>
      <c r="B26" s="3" t="s">
        <v>18</v>
      </c>
      <c r="C26" s="3" t="s">
        <v>112</v>
      </c>
      <c r="D26" s="3" t="s">
        <v>100</v>
      </c>
      <c r="E26" s="2" t="s">
        <v>94</v>
      </c>
      <c r="F26" s="4">
        <f t="shared" si="1"/>
        <v>1445.0018580453363</v>
      </c>
      <c r="G26" s="4">
        <v>15554</v>
      </c>
      <c r="H26" s="2" t="s">
        <v>113</v>
      </c>
      <c r="I26" s="154" t="s">
        <v>67</v>
      </c>
      <c r="J26" s="2" t="s">
        <v>24</v>
      </c>
      <c r="K26" s="2">
        <v>3</v>
      </c>
      <c r="L26" s="3" t="s">
        <v>77</v>
      </c>
      <c r="M26" s="3" t="s">
        <v>106</v>
      </c>
      <c r="N26" s="5" t="s">
        <v>62</v>
      </c>
      <c r="O26" s="2" t="s">
        <v>38</v>
      </c>
      <c r="P26" s="150"/>
    </row>
    <row r="27" spans="1:16" s="118" customFormat="1" ht="13.5">
      <c r="A27" s="2">
        <v>22</v>
      </c>
      <c r="B27" s="3" t="s">
        <v>18</v>
      </c>
      <c r="C27" s="214" t="s">
        <v>102</v>
      </c>
      <c r="D27" s="214" t="s">
        <v>100</v>
      </c>
      <c r="E27" s="134" t="s">
        <v>94</v>
      </c>
      <c r="F27" s="215">
        <f t="shared" si="1"/>
        <v>2883.0360460795246</v>
      </c>
      <c r="G27" s="215">
        <v>31033</v>
      </c>
      <c r="H27" s="134" t="s">
        <v>114</v>
      </c>
      <c r="I27" s="216" t="s">
        <v>115</v>
      </c>
      <c r="J27" s="134" t="s">
        <v>116</v>
      </c>
      <c r="K27" s="134">
        <v>3</v>
      </c>
      <c r="L27" s="214" t="s">
        <v>102</v>
      </c>
      <c r="M27" s="214" t="s">
        <v>103</v>
      </c>
      <c r="N27" s="135" t="s">
        <v>62</v>
      </c>
      <c r="O27" s="134" t="s">
        <v>29</v>
      </c>
      <c r="P27" s="150"/>
    </row>
    <row r="28" spans="1:16" s="118" customFormat="1" ht="13.5">
      <c r="A28" s="2">
        <v>23</v>
      </c>
      <c r="B28" s="3" t="s">
        <v>18</v>
      </c>
      <c r="C28" s="3" t="s">
        <v>117</v>
      </c>
      <c r="D28" s="3" t="s">
        <v>118</v>
      </c>
      <c r="E28" s="2" t="s">
        <v>94</v>
      </c>
      <c r="F28" s="4">
        <f t="shared" si="1"/>
        <v>9848.0118914901523</v>
      </c>
      <c r="G28" s="4">
        <v>106004</v>
      </c>
      <c r="H28" s="2" t="s">
        <v>119</v>
      </c>
      <c r="I28" s="154" t="s">
        <v>88</v>
      </c>
      <c r="J28" s="2" t="s">
        <v>24</v>
      </c>
      <c r="K28" s="2">
        <v>5</v>
      </c>
      <c r="L28" s="3" t="s">
        <v>77</v>
      </c>
      <c r="M28" s="3" t="s">
        <v>120</v>
      </c>
      <c r="N28" s="5" t="s">
        <v>62</v>
      </c>
      <c r="O28" s="2" t="s">
        <v>38</v>
      </c>
      <c r="P28" s="150"/>
    </row>
    <row r="29" spans="1:16" s="118" customFormat="1" ht="13.5">
      <c r="A29" s="2">
        <v>24</v>
      </c>
      <c r="B29" s="3" t="s">
        <v>18</v>
      </c>
      <c r="C29" s="3" t="s">
        <v>121</v>
      </c>
      <c r="D29" s="3" t="s">
        <v>122</v>
      </c>
      <c r="E29" s="2" t="s">
        <v>123</v>
      </c>
      <c r="F29" s="4">
        <f t="shared" si="1"/>
        <v>3856.0943887030844</v>
      </c>
      <c r="G29" s="4">
        <v>41507</v>
      </c>
      <c r="H29" s="2" t="s">
        <v>124</v>
      </c>
      <c r="I29" s="154" t="s">
        <v>67</v>
      </c>
      <c r="J29" s="2" t="s">
        <v>125</v>
      </c>
      <c r="K29" s="2">
        <v>5</v>
      </c>
      <c r="L29" s="3" t="s">
        <v>45</v>
      </c>
      <c r="M29" s="3" t="s">
        <v>120</v>
      </c>
      <c r="N29" s="5" t="s">
        <v>62</v>
      </c>
      <c r="O29" s="2" t="s">
        <v>38</v>
      </c>
      <c r="P29" s="150"/>
    </row>
    <row r="30" spans="1:16" s="118" customFormat="1" ht="13.5">
      <c r="A30" s="2">
        <v>25</v>
      </c>
      <c r="B30" s="3" t="s">
        <v>18</v>
      </c>
      <c r="C30" s="3" t="s">
        <v>126</v>
      </c>
      <c r="D30" s="3" t="s">
        <v>122</v>
      </c>
      <c r="E30" s="2" t="s">
        <v>123</v>
      </c>
      <c r="F30" s="4">
        <f t="shared" si="1"/>
        <v>4707.0791527313268</v>
      </c>
      <c r="G30" s="4">
        <v>50667</v>
      </c>
      <c r="H30" s="2" t="s">
        <v>127</v>
      </c>
      <c r="I30" s="154" t="s">
        <v>72</v>
      </c>
      <c r="J30" s="2" t="s">
        <v>24</v>
      </c>
      <c r="K30" s="2">
        <v>5</v>
      </c>
      <c r="L30" s="3" t="s">
        <v>45</v>
      </c>
      <c r="M30" s="3" t="s">
        <v>37</v>
      </c>
      <c r="N30" s="5" t="s">
        <v>62</v>
      </c>
      <c r="O30" s="2" t="s">
        <v>29</v>
      </c>
      <c r="P30" s="150"/>
    </row>
    <row r="31" spans="1:16" s="118" customFormat="1" ht="13.5">
      <c r="A31" s="2">
        <v>26</v>
      </c>
      <c r="B31" s="3" t="s">
        <v>18</v>
      </c>
      <c r="C31" s="3" t="s">
        <v>128</v>
      </c>
      <c r="D31" s="3" t="s">
        <v>122</v>
      </c>
      <c r="E31" s="2" t="s">
        <v>123</v>
      </c>
      <c r="F31" s="4">
        <f t="shared" si="1"/>
        <v>2902.917131178001</v>
      </c>
      <c r="G31" s="4">
        <v>31247</v>
      </c>
      <c r="H31" s="2" t="s">
        <v>129</v>
      </c>
      <c r="I31" s="154" t="s">
        <v>72</v>
      </c>
      <c r="J31" s="2" t="s">
        <v>24</v>
      </c>
      <c r="K31" s="2">
        <v>5</v>
      </c>
      <c r="L31" s="3" t="s">
        <v>45</v>
      </c>
      <c r="M31" s="3" t="s">
        <v>27</v>
      </c>
      <c r="N31" s="5" t="s">
        <v>62</v>
      </c>
      <c r="O31" s="2" t="s">
        <v>29</v>
      </c>
      <c r="P31" s="150"/>
    </row>
    <row r="32" spans="1:16" s="118" customFormat="1" ht="13.5">
      <c r="A32" s="2">
        <v>27</v>
      </c>
      <c r="B32" s="3" t="s">
        <v>18</v>
      </c>
      <c r="C32" s="3" t="s">
        <v>130</v>
      </c>
      <c r="D32" s="3" t="s">
        <v>131</v>
      </c>
      <c r="E32" s="2" t="s">
        <v>132</v>
      </c>
      <c r="F32" s="4">
        <f t="shared" si="1"/>
        <v>2461.9100706057229</v>
      </c>
      <c r="G32" s="4">
        <v>26500</v>
      </c>
      <c r="H32" s="2" t="s">
        <v>133</v>
      </c>
      <c r="I32" s="154" t="s">
        <v>67</v>
      </c>
      <c r="J32" s="2" t="s">
        <v>24</v>
      </c>
      <c r="K32" s="2">
        <v>5</v>
      </c>
      <c r="L32" s="3" t="s">
        <v>45</v>
      </c>
      <c r="M32" s="3" t="s">
        <v>37</v>
      </c>
      <c r="N32" s="5" t="s">
        <v>62</v>
      </c>
      <c r="O32" s="2" t="s">
        <v>29</v>
      </c>
      <c r="P32" s="150"/>
    </row>
    <row r="33" spans="1:17" s="118" customFormat="1" ht="13.5">
      <c r="A33" s="2">
        <v>28</v>
      </c>
      <c r="B33" s="3" t="s">
        <v>18</v>
      </c>
      <c r="C33" s="3" t="s">
        <v>134</v>
      </c>
      <c r="D33" s="3" t="s">
        <v>135</v>
      </c>
      <c r="E33" s="2" t="s">
        <v>132</v>
      </c>
      <c r="F33" s="4">
        <f t="shared" si="1"/>
        <v>4529.7287253809</v>
      </c>
      <c r="G33" s="4">
        <v>48758</v>
      </c>
      <c r="H33" s="2" t="s">
        <v>136</v>
      </c>
      <c r="I33" s="154" t="s">
        <v>88</v>
      </c>
      <c r="J33" s="2" t="s">
        <v>137</v>
      </c>
      <c r="K33" s="2">
        <v>4</v>
      </c>
      <c r="L33" s="3" t="s">
        <v>45</v>
      </c>
      <c r="M33" s="3" t="s">
        <v>120</v>
      </c>
      <c r="N33" s="5" t="s">
        <v>28</v>
      </c>
      <c r="O33" s="2" t="s">
        <v>29</v>
      </c>
      <c r="P33" s="150"/>
      <c r="Q33" s="18"/>
    </row>
    <row r="34" spans="1:17" s="118" customFormat="1" ht="13.5">
      <c r="A34" s="2">
        <v>29</v>
      </c>
      <c r="B34" s="3" t="s">
        <v>18</v>
      </c>
      <c r="C34" s="3" t="s">
        <v>138</v>
      </c>
      <c r="D34" s="3" t="s">
        <v>135</v>
      </c>
      <c r="E34" s="2" t="s">
        <v>132</v>
      </c>
      <c r="F34" s="4">
        <f t="shared" si="1"/>
        <v>9436.1761426978828</v>
      </c>
      <c r="G34" s="4">
        <v>101571</v>
      </c>
      <c r="H34" s="2" t="s">
        <v>139</v>
      </c>
      <c r="I34" s="154" t="s">
        <v>88</v>
      </c>
      <c r="J34" s="2" t="s">
        <v>24</v>
      </c>
      <c r="K34" s="2">
        <v>5</v>
      </c>
      <c r="L34" s="3" t="s">
        <v>26</v>
      </c>
      <c r="M34" s="3" t="s">
        <v>103</v>
      </c>
      <c r="N34" s="5" t="s">
        <v>28</v>
      </c>
      <c r="O34" s="2" t="s">
        <v>29</v>
      </c>
      <c r="P34" s="150"/>
      <c r="Q34" s="18"/>
    </row>
    <row r="35" spans="1:17" s="118" customFormat="1" ht="13.5">
      <c r="A35" s="2">
        <v>30</v>
      </c>
      <c r="B35" s="3" t="s">
        <v>18</v>
      </c>
      <c r="C35" s="3" t="s">
        <v>140</v>
      </c>
      <c r="D35" s="3" t="s">
        <v>131</v>
      </c>
      <c r="E35" s="2" t="s">
        <v>132</v>
      </c>
      <c r="F35" s="4">
        <f t="shared" si="1"/>
        <v>8612.9691564474178</v>
      </c>
      <c r="G35" s="4">
        <v>92710</v>
      </c>
      <c r="H35" s="2" t="s">
        <v>141</v>
      </c>
      <c r="I35" s="154" t="s">
        <v>88</v>
      </c>
      <c r="J35" s="2" t="s">
        <v>44</v>
      </c>
      <c r="K35" s="2">
        <v>10</v>
      </c>
      <c r="L35" s="3" t="s">
        <v>45</v>
      </c>
      <c r="M35" s="3" t="s">
        <v>120</v>
      </c>
      <c r="N35" s="5" t="s">
        <v>28</v>
      </c>
      <c r="O35" s="2" t="s">
        <v>29</v>
      </c>
      <c r="P35" s="150"/>
      <c r="Q35" s="18"/>
    </row>
    <row r="36" spans="1:17" s="118" customFormat="1" ht="13.5">
      <c r="A36" s="2">
        <v>31</v>
      </c>
      <c r="B36" s="3" t="s">
        <v>18</v>
      </c>
      <c r="C36" s="3" t="s">
        <v>142</v>
      </c>
      <c r="D36" s="3" t="s">
        <v>131</v>
      </c>
      <c r="E36" s="2" t="s">
        <v>132</v>
      </c>
      <c r="F36" s="4">
        <f t="shared" si="1"/>
        <v>54585.934596804167</v>
      </c>
      <c r="G36" s="4">
        <v>587563</v>
      </c>
      <c r="H36" s="2" t="s">
        <v>143</v>
      </c>
      <c r="I36" s="154" t="s">
        <v>50</v>
      </c>
      <c r="J36" s="2" t="s">
        <v>144</v>
      </c>
      <c r="K36" s="2">
        <v>10</v>
      </c>
      <c r="L36" s="3" t="s">
        <v>45</v>
      </c>
      <c r="M36" s="3" t="s">
        <v>27</v>
      </c>
      <c r="N36" s="5" t="s">
        <v>28</v>
      </c>
      <c r="O36" s="2" t="s">
        <v>29</v>
      </c>
      <c r="P36" s="150"/>
      <c r="Q36" s="18"/>
    </row>
    <row r="37" spans="1:17" s="118" customFormat="1" ht="13.5">
      <c r="A37" s="2">
        <v>32</v>
      </c>
      <c r="B37" s="3" t="s">
        <v>18</v>
      </c>
      <c r="C37" s="3" t="s">
        <v>145</v>
      </c>
      <c r="D37" s="3" t="s">
        <v>131</v>
      </c>
      <c r="E37" s="2" t="s">
        <v>132</v>
      </c>
      <c r="F37" s="4">
        <f t="shared" si="1"/>
        <v>9704.9424005945748</v>
      </c>
      <c r="G37" s="4">
        <v>104464</v>
      </c>
      <c r="H37" s="2" t="s">
        <v>146</v>
      </c>
      <c r="I37" s="154" t="s">
        <v>23</v>
      </c>
      <c r="J37" s="2" t="s">
        <v>147</v>
      </c>
      <c r="K37" s="2">
        <v>7</v>
      </c>
      <c r="L37" s="3" t="s">
        <v>45</v>
      </c>
      <c r="M37" s="3" t="s">
        <v>37</v>
      </c>
      <c r="N37" s="5" t="s">
        <v>28</v>
      </c>
      <c r="O37" s="2" t="s">
        <v>29</v>
      </c>
      <c r="P37" s="150"/>
      <c r="Q37" s="18"/>
    </row>
    <row r="38" spans="1:17" s="118" customFormat="1" ht="13.5">
      <c r="A38" s="2">
        <v>33</v>
      </c>
      <c r="B38" s="3" t="s">
        <v>18</v>
      </c>
      <c r="C38" s="3" t="s">
        <v>145</v>
      </c>
      <c r="D38" s="3" t="s">
        <v>131</v>
      </c>
      <c r="E38" s="2" t="s">
        <v>132</v>
      </c>
      <c r="F38" s="4">
        <f t="shared" si="1"/>
        <v>8379.7844667409881</v>
      </c>
      <c r="G38" s="4">
        <v>90200</v>
      </c>
      <c r="H38" s="2" t="s">
        <v>148</v>
      </c>
      <c r="I38" s="154" t="s">
        <v>23</v>
      </c>
      <c r="J38" s="2" t="s">
        <v>147</v>
      </c>
      <c r="K38" s="2">
        <v>9</v>
      </c>
      <c r="L38" s="3" t="s">
        <v>45</v>
      </c>
      <c r="M38" s="3"/>
      <c r="N38" s="5" t="s">
        <v>28</v>
      </c>
      <c r="O38" s="2" t="s">
        <v>29</v>
      </c>
      <c r="P38" s="150"/>
      <c r="Q38" s="18"/>
    </row>
    <row r="39" spans="1:17" s="118" customFormat="1" ht="13.5">
      <c r="A39" s="2">
        <v>34</v>
      </c>
      <c r="B39" s="3" t="s">
        <v>18</v>
      </c>
      <c r="C39" s="3" t="s">
        <v>149</v>
      </c>
      <c r="D39" s="3" t="s">
        <v>135</v>
      </c>
      <c r="E39" s="2" t="s">
        <v>132</v>
      </c>
      <c r="F39" s="4">
        <f t="shared" si="1"/>
        <v>4645.1133407655152</v>
      </c>
      <c r="G39" s="4">
        <v>50000</v>
      </c>
      <c r="H39" s="2" t="s">
        <v>150</v>
      </c>
      <c r="I39" s="154" t="s">
        <v>23</v>
      </c>
      <c r="J39" s="2" t="s">
        <v>24</v>
      </c>
      <c r="K39" s="2">
        <v>5</v>
      </c>
      <c r="L39" s="3" t="s">
        <v>45</v>
      </c>
      <c r="M39" s="3" t="s">
        <v>37</v>
      </c>
      <c r="N39" s="5" t="s">
        <v>28</v>
      </c>
      <c r="O39" s="2" t="s">
        <v>38</v>
      </c>
      <c r="P39" s="150"/>
      <c r="Q39" s="18"/>
    </row>
    <row r="40" spans="1:17" s="118" customFormat="1" ht="13.5">
      <c r="A40" s="2">
        <v>35</v>
      </c>
      <c r="B40" s="3" t="s">
        <v>18</v>
      </c>
      <c r="C40" s="3" t="s">
        <v>151</v>
      </c>
      <c r="D40" s="3" t="s">
        <v>152</v>
      </c>
      <c r="E40" s="2" t="s">
        <v>153</v>
      </c>
      <c r="F40" s="4">
        <f t="shared" si="1"/>
        <v>7190.635451505017</v>
      </c>
      <c r="G40" s="4">
        <v>77400</v>
      </c>
      <c r="H40" s="2" t="s">
        <v>80</v>
      </c>
      <c r="I40" s="154" t="s">
        <v>43</v>
      </c>
      <c r="J40" s="2" t="s">
        <v>154</v>
      </c>
      <c r="K40" s="2">
        <v>10</v>
      </c>
      <c r="L40" s="3" t="s">
        <v>26</v>
      </c>
      <c r="M40" s="3" t="s">
        <v>155</v>
      </c>
      <c r="N40" s="5" t="s">
        <v>28</v>
      </c>
      <c r="O40" s="2" t="s">
        <v>29</v>
      </c>
      <c r="P40" s="150"/>
      <c r="Q40" s="18"/>
    </row>
    <row r="41" spans="1:17" s="118" customFormat="1" ht="13.5">
      <c r="A41" s="2">
        <v>36</v>
      </c>
      <c r="B41" s="3" t="s">
        <v>18</v>
      </c>
      <c r="C41" s="3" t="s">
        <v>156</v>
      </c>
      <c r="D41" s="3" t="s">
        <v>152</v>
      </c>
      <c r="E41" s="2" t="s">
        <v>153</v>
      </c>
      <c r="F41" s="4">
        <f t="shared" si="1"/>
        <v>3012.5418060200673</v>
      </c>
      <c r="G41" s="4">
        <v>32427</v>
      </c>
      <c r="H41" s="2" t="s">
        <v>157</v>
      </c>
      <c r="I41" s="154" t="s">
        <v>158</v>
      </c>
      <c r="J41" s="2" t="s">
        <v>159</v>
      </c>
      <c r="K41" s="2">
        <v>5</v>
      </c>
      <c r="L41" s="3" t="s">
        <v>77</v>
      </c>
      <c r="M41" s="3" t="s">
        <v>27</v>
      </c>
      <c r="N41" s="5" t="s">
        <v>28</v>
      </c>
      <c r="O41" s="2" t="s">
        <v>29</v>
      </c>
      <c r="P41" s="150"/>
      <c r="Q41" s="18"/>
    </row>
    <row r="42" spans="1:17" s="118" customFormat="1" ht="13.5">
      <c r="A42" s="2">
        <v>37</v>
      </c>
      <c r="B42" s="3" t="s">
        <v>18</v>
      </c>
      <c r="C42" s="3" t="s">
        <v>160</v>
      </c>
      <c r="D42" s="3" t="s">
        <v>152</v>
      </c>
      <c r="E42" s="2" t="s">
        <v>153</v>
      </c>
      <c r="F42" s="4">
        <f t="shared" si="1"/>
        <v>2399.9442586399109</v>
      </c>
      <c r="G42" s="6">
        <v>25833</v>
      </c>
      <c r="H42" s="2" t="s">
        <v>161</v>
      </c>
      <c r="I42" s="154" t="s">
        <v>91</v>
      </c>
      <c r="J42" s="2" t="s">
        <v>24</v>
      </c>
      <c r="K42" s="2">
        <v>5</v>
      </c>
      <c r="L42" s="3" t="s">
        <v>26</v>
      </c>
      <c r="M42" s="3" t="s">
        <v>162</v>
      </c>
      <c r="N42" s="5" t="s">
        <v>28</v>
      </c>
      <c r="O42" s="2" t="s">
        <v>38</v>
      </c>
      <c r="P42" s="150"/>
      <c r="Q42" s="18"/>
    </row>
    <row r="43" spans="1:17" s="118" customFormat="1" ht="13.5">
      <c r="A43" s="2">
        <v>38</v>
      </c>
      <c r="B43" s="3" t="s">
        <v>18</v>
      </c>
      <c r="C43" s="3" t="s">
        <v>163</v>
      </c>
      <c r="D43" s="3" t="s">
        <v>152</v>
      </c>
      <c r="E43" s="2" t="s">
        <v>153</v>
      </c>
      <c r="F43" s="4">
        <f t="shared" si="1"/>
        <v>6142.3262727610554</v>
      </c>
      <c r="G43" s="4">
        <v>66116</v>
      </c>
      <c r="H43" s="2" t="s">
        <v>164</v>
      </c>
      <c r="I43" s="154" t="s">
        <v>23</v>
      </c>
      <c r="J43" s="2" t="s">
        <v>24</v>
      </c>
      <c r="K43" s="2">
        <v>10</v>
      </c>
      <c r="L43" s="3" t="s">
        <v>26</v>
      </c>
      <c r="M43" s="3" t="s">
        <v>103</v>
      </c>
      <c r="N43" s="5" t="s">
        <v>28</v>
      </c>
      <c r="O43" s="2" t="s">
        <v>29</v>
      </c>
      <c r="P43" s="150"/>
      <c r="Q43" s="18"/>
    </row>
    <row r="44" spans="1:17" s="118" customFormat="1" ht="13.5">
      <c r="A44" s="2">
        <v>39</v>
      </c>
      <c r="B44" s="3" t="s">
        <v>18</v>
      </c>
      <c r="C44" s="3" t="s">
        <v>165</v>
      </c>
      <c r="D44" s="3" t="s">
        <v>166</v>
      </c>
      <c r="E44" s="2" t="s">
        <v>167</v>
      </c>
      <c r="F44" s="4">
        <f t="shared" si="1"/>
        <v>10340.022296544037</v>
      </c>
      <c r="G44" s="4">
        <v>111300</v>
      </c>
      <c r="H44" s="2" t="s">
        <v>168</v>
      </c>
      <c r="I44" s="154" t="s">
        <v>67</v>
      </c>
      <c r="J44" s="2" t="s">
        <v>24</v>
      </c>
      <c r="K44" s="2">
        <v>5</v>
      </c>
      <c r="L44" s="3" t="s">
        <v>45</v>
      </c>
      <c r="M44" s="3" t="s">
        <v>37</v>
      </c>
      <c r="N44" s="5" t="s">
        <v>28</v>
      </c>
      <c r="O44" s="2" t="s">
        <v>29</v>
      </c>
      <c r="P44" s="150"/>
      <c r="Q44" s="18"/>
    </row>
    <row r="45" spans="1:17" s="118" customFormat="1" ht="13.5">
      <c r="A45" s="2">
        <v>40</v>
      </c>
      <c r="B45" s="3" t="s">
        <v>18</v>
      </c>
      <c r="C45" s="3" t="s">
        <v>169</v>
      </c>
      <c r="D45" s="3" t="s">
        <v>170</v>
      </c>
      <c r="E45" s="2" t="s">
        <v>167</v>
      </c>
      <c r="F45" s="4">
        <f t="shared" si="1"/>
        <v>13478.167967298403</v>
      </c>
      <c r="G45" s="4">
        <v>145079</v>
      </c>
      <c r="H45" s="2" t="s">
        <v>171</v>
      </c>
      <c r="I45" s="154" t="s">
        <v>23</v>
      </c>
      <c r="J45" s="2" t="s">
        <v>24</v>
      </c>
      <c r="K45" s="2">
        <v>5</v>
      </c>
      <c r="L45" s="3" t="s">
        <v>45</v>
      </c>
      <c r="M45" s="3" t="s">
        <v>27</v>
      </c>
      <c r="N45" s="5" t="s">
        <v>28</v>
      </c>
      <c r="O45" s="2" t="s">
        <v>29</v>
      </c>
      <c r="P45" s="150"/>
      <c r="Q45" s="18"/>
    </row>
    <row r="46" spans="1:17" s="118" customFormat="1" ht="13.5">
      <c r="A46" s="2">
        <v>41</v>
      </c>
      <c r="B46" s="3" t="s">
        <v>18</v>
      </c>
      <c r="C46" s="3" t="s">
        <v>32</v>
      </c>
      <c r="D46" s="3" t="s">
        <v>33</v>
      </c>
      <c r="E46" s="2" t="s">
        <v>167</v>
      </c>
      <c r="F46" s="4">
        <f t="shared" si="1"/>
        <v>4000.0000000000005</v>
      </c>
      <c r="G46" s="4">
        <v>43056</v>
      </c>
      <c r="H46" s="2" t="s">
        <v>80</v>
      </c>
      <c r="I46" s="154" t="s">
        <v>23</v>
      </c>
      <c r="J46" s="2" t="s">
        <v>24</v>
      </c>
      <c r="K46" s="2">
        <v>5</v>
      </c>
      <c r="L46" s="3" t="s">
        <v>45</v>
      </c>
      <c r="M46" s="3" t="s">
        <v>27</v>
      </c>
      <c r="N46" s="5" t="s">
        <v>28</v>
      </c>
      <c r="O46" s="2" t="s">
        <v>29</v>
      </c>
      <c r="P46" s="150"/>
      <c r="Q46" s="18"/>
    </row>
    <row r="47" spans="1:17" s="119" customFormat="1" ht="13.5">
      <c r="A47" s="246"/>
      <c r="B47" s="246"/>
      <c r="C47" s="246"/>
      <c r="D47" s="246"/>
      <c r="E47" s="246"/>
      <c r="F47" s="4">
        <f t="shared" si="1"/>
        <v>276360.73950204387</v>
      </c>
      <c r="G47" s="249">
        <f>SUM(G6:G46)</f>
        <v>2974747</v>
      </c>
      <c r="H47" s="249"/>
      <c r="I47" s="249"/>
      <c r="J47" s="249"/>
      <c r="K47" s="249"/>
      <c r="L47" s="249"/>
      <c r="M47" s="219"/>
      <c r="N47" s="235"/>
      <c r="O47" s="219"/>
      <c r="P47" s="219"/>
      <c r="Q47" s="12"/>
    </row>
    <row r="48" spans="1:17" s="121" customFormat="1" ht="20.25">
      <c r="A48" s="231" t="s">
        <v>172</v>
      </c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6"/>
      <c r="P48" s="232"/>
      <c r="Q48" s="120"/>
    </row>
    <row r="49" spans="1:17" s="119" customFormat="1" ht="13.5">
      <c r="A49" s="10">
        <v>1</v>
      </c>
      <c r="B49" s="5" t="s">
        <v>173</v>
      </c>
      <c r="C49" s="9" t="s">
        <v>174</v>
      </c>
      <c r="D49" s="9" t="s">
        <v>175</v>
      </c>
      <c r="E49" s="6" t="s">
        <v>41</v>
      </c>
      <c r="F49" s="6">
        <f>G49/10.764</f>
        <v>4103.4002229654407</v>
      </c>
      <c r="G49" s="6">
        <v>44169</v>
      </c>
      <c r="H49" s="10" t="s">
        <v>176</v>
      </c>
      <c r="I49" s="8" t="s">
        <v>91</v>
      </c>
      <c r="J49" s="96" t="s">
        <v>76</v>
      </c>
      <c r="K49" s="10">
        <v>7</v>
      </c>
      <c r="L49" s="9" t="s">
        <v>26</v>
      </c>
      <c r="M49" s="169" t="s">
        <v>37</v>
      </c>
      <c r="N49" s="170" t="s">
        <v>28</v>
      </c>
      <c r="O49" s="6" t="s">
        <v>38</v>
      </c>
      <c r="P49" s="237"/>
      <c r="Q49" s="12"/>
    </row>
    <row r="50" spans="1:17" s="119" customFormat="1" ht="13.5">
      <c r="A50" s="10">
        <v>2</v>
      </c>
      <c r="B50" s="5" t="s">
        <v>173</v>
      </c>
      <c r="C50" s="9" t="s">
        <v>177</v>
      </c>
      <c r="D50" s="9" t="s">
        <v>178</v>
      </c>
      <c r="E50" s="6" t="s">
        <v>179</v>
      </c>
      <c r="F50" s="6">
        <f>G50/10.764</f>
        <v>10589.650687476775</v>
      </c>
      <c r="G50" s="6">
        <v>113987</v>
      </c>
      <c r="H50" s="10" t="s">
        <v>80</v>
      </c>
      <c r="I50" s="8" t="s">
        <v>50</v>
      </c>
      <c r="J50" s="96" t="s">
        <v>44</v>
      </c>
      <c r="K50" s="10">
        <v>10</v>
      </c>
      <c r="L50" s="9" t="s">
        <v>26</v>
      </c>
      <c r="M50" s="169" t="s">
        <v>27</v>
      </c>
      <c r="N50" s="170" t="s">
        <v>28</v>
      </c>
      <c r="O50" s="6" t="s">
        <v>29</v>
      </c>
      <c r="P50" s="237"/>
      <c r="Q50" s="12"/>
    </row>
    <row r="51" spans="1:17" s="119" customFormat="1" ht="13.5">
      <c r="A51" s="10">
        <v>3</v>
      </c>
      <c r="B51" s="5" t="s">
        <v>173</v>
      </c>
      <c r="C51" s="9" t="s">
        <v>180</v>
      </c>
      <c r="D51" s="9" t="s">
        <v>181</v>
      </c>
      <c r="E51" s="6" t="s">
        <v>182</v>
      </c>
      <c r="F51" s="6">
        <f>G51/10.764</f>
        <v>11148.272017837236</v>
      </c>
      <c r="G51" s="6">
        <v>120000</v>
      </c>
      <c r="H51" s="10" t="s">
        <v>183</v>
      </c>
      <c r="I51" s="8" t="s">
        <v>88</v>
      </c>
      <c r="J51" s="96" t="s">
        <v>24</v>
      </c>
      <c r="K51" s="10">
        <v>3</v>
      </c>
      <c r="L51" s="9" t="s">
        <v>77</v>
      </c>
      <c r="M51" s="169" t="s">
        <v>37</v>
      </c>
      <c r="N51" s="170" t="s">
        <v>28</v>
      </c>
      <c r="O51" s="6" t="s">
        <v>29</v>
      </c>
      <c r="P51" s="237"/>
      <c r="Q51" s="12"/>
    </row>
    <row r="52" spans="1:17" s="119" customFormat="1" ht="12.75">
      <c r="A52" s="246" t="s">
        <v>184</v>
      </c>
      <c r="B52" s="246"/>
      <c r="C52" s="246"/>
      <c r="D52" s="246"/>
      <c r="E52" s="246"/>
      <c r="F52" s="238">
        <f>SUM(F49:F51)</f>
        <v>25841.322928279453</v>
      </c>
      <c r="G52" s="249">
        <f>SUM(G49:G51)</f>
        <v>278156</v>
      </c>
      <c r="H52" s="249"/>
      <c r="I52" s="249"/>
      <c r="J52" s="249"/>
      <c r="K52" s="249"/>
      <c r="L52" s="249"/>
      <c r="M52" s="219"/>
      <c r="N52" s="235"/>
      <c r="O52" s="219"/>
      <c r="P52" s="219"/>
      <c r="Q52" s="12"/>
    </row>
    <row r="53" spans="1:17" s="122" customFormat="1" ht="20.25">
      <c r="A53" s="231" t="s">
        <v>185</v>
      </c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6"/>
      <c r="P53" s="239"/>
    </row>
    <row r="54" spans="1:17" s="118" customFormat="1" ht="13.5">
      <c r="A54" s="149">
        <v>1</v>
      </c>
      <c r="B54" s="148" t="s">
        <v>186</v>
      </c>
      <c r="C54" s="151"/>
      <c r="D54" s="135"/>
      <c r="E54" s="152"/>
      <c r="F54" s="137"/>
      <c r="G54" s="137"/>
      <c r="H54" s="136"/>
      <c r="I54" s="160"/>
      <c r="J54" s="152"/>
      <c r="K54" s="134"/>
      <c r="L54" s="153"/>
      <c r="M54" s="138"/>
      <c r="N54" s="150"/>
      <c r="O54" s="149"/>
      <c r="P54" s="240"/>
      <c r="Q54" s="18"/>
    </row>
    <row r="55" spans="1:17" s="119" customFormat="1" ht="12.75">
      <c r="A55" s="246" t="s">
        <v>187</v>
      </c>
      <c r="B55" s="246"/>
      <c r="C55" s="246"/>
      <c r="D55" s="246"/>
      <c r="E55" s="246"/>
      <c r="F55" s="238">
        <f>SUM(F54)</f>
        <v>0</v>
      </c>
      <c r="G55" s="249">
        <f>SUM(G54)</f>
        <v>0</v>
      </c>
      <c r="H55" s="249"/>
      <c r="I55" s="249"/>
      <c r="J55" s="249"/>
      <c r="K55" s="249"/>
      <c r="L55" s="249"/>
      <c r="M55" s="219"/>
      <c r="N55" s="235"/>
      <c r="O55" s="219"/>
      <c r="P55" s="219"/>
      <c r="Q55" s="12"/>
    </row>
    <row r="56" spans="1:17" s="122" customFormat="1" ht="20.25">
      <c r="A56" s="231" t="s">
        <v>188</v>
      </c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6"/>
      <c r="P56" s="232"/>
      <c r="Q56" s="123"/>
    </row>
    <row r="57" spans="1:17" s="118" customFormat="1" ht="12.75" customHeight="1">
      <c r="A57" s="10">
        <v>1</v>
      </c>
      <c r="B57" s="15" t="s">
        <v>189</v>
      </c>
      <c r="C57" s="15" t="s">
        <v>190</v>
      </c>
      <c r="D57" s="5" t="s">
        <v>191</v>
      </c>
      <c r="E57" s="10" t="s">
        <v>192</v>
      </c>
      <c r="F57" s="6">
        <f t="shared" ref="F57:F63" si="2">G57/10.764</f>
        <v>3131.921218877741</v>
      </c>
      <c r="G57" s="6">
        <v>33712</v>
      </c>
      <c r="H57" s="10" t="s">
        <v>193</v>
      </c>
      <c r="I57" s="157" t="s">
        <v>72</v>
      </c>
      <c r="J57" s="10" t="s">
        <v>194</v>
      </c>
      <c r="K57" s="2">
        <v>5</v>
      </c>
      <c r="L57" s="9" t="s">
        <v>195</v>
      </c>
      <c r="M57" s="9" t="s">
        <v>27</v>
      </c>
      <c r="N57" s="7" t="s">
        <v>62</v>
      </c>
      <c r="O57" s="158" t="s">
        <v>29</v>
      </c>
      <c r="P57" s="17"/>
      <c r="Q57" s="18"/>
    </row>
    <row r="58" spans="1:17" s="118" customFormat="1" ht="12.75" customHeight="1">
      <c r="A58" s="10">
        <v>2</v>
      </c>
      <c r="B58" s="15" t="s">
        <v>189</v>
      </c>
      <c r="C58" s="15" t="s">
        <v>196</v>
      </c>
      <c r="D58" s="5" t="s">
        <v>191</v>
      </c>
      <c r="E58" s="10" t="s">
        <v>192</v>
      </c>
      <c r="F58" s="6">
        <f>G58/10.764</f>
        <v>4686.9193608324049</v>
      </c>
      <c r="G58" s="6">
        <v>50450</v>
      </c>
      <c r="H58" s="10" t="s">
        <v>197</v>
      </c>
      <c r="I58" s="157" t="s">
        <v>88</v>
      </c>
      <c r="J58" s="10" t="s">
        <v>194</v>
      </c>
      <c r="K58" s="2">
        <v>3</v>
      </c>
      <c r="L58" s="9" t="s">
        <v>45</v>
      </c>
      <c r="M58" s="9" t="s">
        <v>198</v>
      </c>
      <c r="N58" s="7" t="s">
        <v>62</v>
      </c>
      <c r="O58" s="158" t="s">
        <v>29</v>
      </c>
      <c r="P58" s="17"/>
      <c r="Q58" s="18"/>
    </row>
    <row r="59" spans="1:17" s="118" customFormat="1" ht="12.75" customHeight="1">
      <c r="A59" s="10">
        <v>3</v>
      </c>
      <c r="B59" s="15" t="s">
        <v>189</v>
      </c>
      <c r="C59" s="15" t="s">
        <v>199</v>
      </c>
      <c r="D59" s="5" t="s">
        <v>200</v>
      </c>
      <c r="E59" s="10" t="s">
        <v>94</v>
      </c>
      <c r="F59" s="6">
        <f t="shared" si="2"/>
        <v>1836.0274990709775</v>
      </c>
      <c r="G59" s="6">
        <v>19763</v>
      </c>
      <c r="H59" s="10" t="s">
        <v>201</v>
      </c>
      <c r="I59" s="157" t="s">
        <v>43</v>
      </c>
      <c r="J59" s="10" t="s">
        <v>44</v>
      </c>
      <c r="K59" s="2">
        <v>1</v>
      </c>
      <c r="L59" s="9" t="s">
        <v>202</v>
      </c>
      <c r="M59" s="9" t="s">
        <v>203</v>
      </c>
      <c r="N59" s="7" t="s">
        <v>62</v>
      </c>
      <c r="O59" s="158" t="s">
        <v>86</v>
      </c>
      <c r="P59" s="17"/>
      <c r="Q59" s="18"/>
    </row>
    <row r="60" spans="1:17" s="118" customFormat="1" ht="12.75" customHeight="1">
      <c r="A60" s="10">
        <v>4</v>
      </c>
      <c r="B60" s="15" t="s">
        <v>189</v>
      </c>
      <c r="C60" s="15" t="s">
        <v>204</v>
      </c>
      <c r="D60" s="5" t="s">
        <v>200</v>
      </c>
      <c r="E60" s="10" t="s">
        <v>94</v>
      </c>
      <c r="F60" s="6">
        <f t="shared" si="2"/>
        <v>1836.0274990709775</v>
      </c>
      <c r="G60" s="6">
        <v>19763</v>
      </c>
      <c r="H60" s="10" t="s">
        <v>205</v>
      </c>
      <c r="I60" s="157" t="s">
        <v>88</v>
      </c>
      <c r="J60" s="10" t="s">
        <v>24</v>
      </c>
      <c r="K60" s="2">
        <v>1</v>
      </c>
      <c r="L60" s="9" t="s">
        <v>202</v>
      </c>
      <c r="M60" s="9" t="s">
        <v>206</v>
      </c>
      <c r="N60" s="7" t="s">
        <v>62</v>
      </c>
      <c r="O60" s="158" t="s">
        <v>86</v>
      </c>
      <c r="P60" s="17"/>
      <c r="Q60" s="18"/>
    </row>
    <row r="61" spans="1:17" s="118" customFormat="1" ht="12.75" customHeight="1">
      <c r="A61" s="10">
        <v>5</v>
      </c>
      <c r="B61" s="15" t="s">
        <v>189</v>
      </c>
      <c r="C61" s="15" t="s">
        <v>204</v>
      </c>
      <c r="D61" s="5" t="s">
        <v>200</v>
      </c>
      <c r="E61" s="10" t="s">
        <v>94</v>
      </c>
      <c r="F61" s="6">
        <f t="shared" si="2"/>
        <v>1808.9929394277221</v>
      </c>
      <c r="G61" s="6">
        <v>19472</v>
      </c>
      <c r="H61" s="10" t="s">
        <v>207</v>
      </c>
      <c r="I61" s="157" t="s">
        <v>115</v>
      </c>
      <c r="J61" s="10" t="s">
        <v>24</v>
      </c>
      <c r="K61" s="2">
        <v>1</v>
      </c>
      <c r="L61" s="9" t="s">
        <v>202</v>
      </c>
      <c r="M61" s="9" t="s">
        <v>206</v>
      </c>
      <c r="N61" s="7" t="s">
        <v>62</v>
      </c>
      <c r="O61" s="158" t="s">
        <v>86</v>
      </c>
      <c r="P61" s="17"/>
      <c r="Q61" s="18"/>
    </row>
    <row r="62" spans="1:17" s="118" customFormat="1" ht="12.75" customHeight="1">
      <c r="A62" s="10">
        <v>6</v>
      </c>
      <c r="B62" s="15" t="s">
        <v>189</v>
      </c>
      <c r="C62" s="15" t="s">
        <v>208</v>
      </c>
      <c r="D62" s="5" t="s">
        <v>200</v>
      </c>
      <c r="E62" s="10" t="s">
        <v>94</v>
      </c>
      <c r="F62" s="6">
        <f t="shared" si="2"/>
        <v>1726.9602378298032</v>
      </c>
      <c r="G62" s="6">
        <v>18589</v>
      </c>
      <c r="H62" s="10" t="s">
        <v>209</v>
      </c>
      <c r="I62" s="157" t="s">
        <v>36</v>
      </c>
      <c r="J62" s="10" t="s">
        <v>24</v>
      </c>
      <c r="K62" s="2">
        <v>3</v>
      </c>
      <c r="L62" s="9" t="s">
        <v>202</v>
      </c>
      <c r="M62" s="9" t="s">
        <v>37</v>
      </c>
      <c r="N62" s="7" t="s">
        <v>210</v>
      </c>
      <c r="O62" s="158" t="s">
        <v>86</v>
      </c>
      <c r="P62" s="17"/>
      <c r="Q62" s="18"/>
    </row>
    <row r="63" spans="1:17" s="118" customFormat="1" ht="12.75" customHeight="1">
      <c r="A63" s="10">
        <v>7</v>
      </c>
      <c r="B63" s="15" t="s">
        <v>189</v>
      </c>
      <c r="C63" s="15" t="s">
        <v>211</v>
      </c>
      <c r="D63" s="5" t="s">
        <v>212</v>
      </c>
      <c r="E63" s="10" t="s">
        <v>153</v>
      </c>
      <c r="F63" s="6">
        <f t="shared" si="2"/>
        <v>2564.2883686361947</v>
      </c>
      <c r="G63" s="6">
        <v>27602</v>
      </c>
      <c r="H63" s="10" t="s">
        <v>213</v>
      </c>
      <c r="I63" s="157" t="s">
        <v>88</v>
      </c>
      <c r="J63" s="10" t="s">
        <v>214</v>
      </c>
      <c r="K63" s="2">
        <v>5</v>
      </c>
      <c r="L63" s="9" t="s">
        <v>77</v>
      </c>
      <c r="M63" s="9" t="s">
        <v>27</v>
      </c>
      <c r="N63" s="170" t="s">
        <v>28</v>
      </c>
      <c r="O63" s="158" t="s">
        <v>29</v>
      </c>
      <c r="P63" s="17"/>
      <c r="Q63" s="18"/>
    </row>
    <row r="64" spans="1:17" s="119" customFormat="1" ht="12.75">
      <c r="A64" s="246" t="s">
        <v>215</v>
      </c>
      <c r="B64" s="246"/>
      <c r="C64" s="246"/>
      <c r="D64" s="246"/>
      <c r="E64" s="246"/>
      <c r="F64" s="238">
        <f>SUM(F57:F63)</f>
        <v>17591.137123745822</v>
      </c>
      <c r="G64" s="249">
        <f>SUM(G57:G63)</f>
        <v>189351</v>
      </c>
      <c r="H64" s="249"/>
      <c r="I64" s="249"/>
      <c r="J64" s="249"/>
      <c r="K64" s="249"/>
      <c r="L64" s="249"/>
      <c r="M64" s="219"/>
      <c r="N64" s="235"/>
      <c r="O64" s="219"/>
      <c r="P64" s="219"/>
      <c r="Q64" s="12"/>
    </row>
    <row r="65" spans="1:17" s="122" customFormat="1" ht="20.25">
      <c r="A65" s="231" t="s">
        <v>216</v>
      </c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6"/>
      <c r="P65" s="232"/>
      <c r="Q65" s="123"/>
    </row>
    <row r="66" spans="1:17" s="119" customFormat="1" ht="12.75" customHeight="1">
      <c r="A66" s="149">
        <v>1</v>
      </c>
      <c r="B66" s="148" t="s">
        <v>217</v>
      </c>
      <c r="C66" s="148" t="s">
        <v>218</v>
      </c>
      <c r="D66" s="162" t="s">
        <v>219</v>
      </c>
      <c r="E66" s="163" t="s">
        <v>54</v>
      </c>
      <c r="F66" s="163">
        <f t="shared" ref="F66:F74" si="3">G66/10.764</f>
        <v>9483.5562987736903</v>
      </c>
      <c r="G66" s="6">
        <v>102081</v>
      </c>
      <c r="H66" s="10" t="s">
        <v>220</v>
      </c>
      <c r="I66" s="160" t="s">
        <v>67</v>
      </c>
      <c r="J66" s="149" t="s">
        <v>44</v>
      </c>
      <c r="K66" s="149">
        <v>1</v>
      </c>
      <c r="L66" s="161" t="s">
        <v>45</v>
      </c>
      <c r="M66" s="168" t="s">
        <v>27</v>
      </c>
      <c r="N66" s="159" t="s">
        <v>62</v>
      </c>
      <c r="O66" s="149" t="s">
        <v>29</v>
      </c>
      <c r="P66" s="159"/>
      <c r="Q66" s="12"/>
    </row>
    <row r="67" spans="1:17" s="119" customFormat="1" ht="12.75" customHeight="1">
      <c r="A67" s="149">
        <v>2</v>
      </c>
      <c r="B67" s="148" t="s">
        <v>217</v>
      </c>
      <c r="C67" s="148" t="s">
        <v>221</v>
      </c>
      <c r="D67" s="162" t="s">
        <v>219</v>
      </c>
      <c r="E67" s="163" t="s">
        <v>54</v>
      </c>
      <c r="F67" s="163">
        <f t="shared" si="3"/>
        <v>2637.4024526198441</v>
      </c>
      <c r="G67" s="6">
        <v>28389</v>
      </c>
      <c r="H67" s="10" t="s">
        <v>222</v>
      </c>
      <c r="I67" s="160" t="s">
        <v>88</v>
      </c>
      <c r="J67" s="149" t="s">
        <v>24</v>
      </c>
      <c r="K67" s="149">
        <v>2</v>
      </c>
      <c r="L67" s="161" t="s">
        <v>45</v>
      </c>
      <c r="M67" s="168" t="s">
        <v>27</v>
      </c>
      <c r="N67" s="159" t="s">
        <v>62</v>
      </c>
      <c r="O67" s="149" t="s">
        <v>29</v>
      </c>
      <c r="P67" s="159"/>
      <c r="Q67" s="12"/>
    </row>
    <row r="68" spans="1:17" s="119" customFormat="1" ht="12.75" customHeight="1">
      <c r="A68" s="149">
        <v>3</v>
      </c>
      <c r="B68" s="148" t="s">
        <v>217</v>
      </c>
      <c r="C68" s="148" t="s">
        <v>223</v>
      </c>
      <c r="D68" s="162" t="s">
        <v>224</v>
      </c>
      <c r="E68" s="163" t="s">
        <v>225</v>
      </c>
      <c r="F68" s="163">
        <f>G68/10.764</f>
        <v>12252.60126347083</v>
      </c>
      <c r="G68" s="6">
        <v>131887</v>
      </c>
      <c r="H68" s="10" t="s">
        <v>226</v>
      </c>
      <c r="I68" s="160" t="s">
        <v>23</v>
      </c>
      <c r="J68" s="149" t="s">
        <v>24</v>
      </c>
      <c r="K68" s="149">
        <v>5</v>
      </c>
      <c r="L68" s="161" t="s">
        <v>26</v>
      </c>
      <c r="M68" s="168" t="s">
        <v>27</v>
      </c>
      <c r="N68" s="159" t="s">
        <v>62</v>
      </c>
      <c r="O68" s="149" t="s">
        <v>29</v>
      </c>
      <c r="P68" s="159"/>
      <c r="Q68" s="12"/>
    </row>
    <row r="69" spans="1:17" s="119" customFormat="1" ht="12.75" customHeight="1">
      <c r="A69" s="149">
        <v>4</v>
      </c>
      <c r="B69" s="148" t="s">
        <v>217</v>
      </c>
      <c r="C69" s="148" t="s">
        <v>227</v>
      </c>
      <c r="D69" s="162" t="s">
        <v>224</v>
      </c>
      <c r="E69" s="163" t="s">
        <v>225</v>
      </c>
      <c r="F69" s="163">
        <v>6000</v>
      </c>
      <c r="G69" s="6">
        <f>F69*10.764</f>
        <v>64583.999999999993</v>
      </c>
      <c r="H69" s="10" t="s">
        <v>228</v>
      </c>
      <c r="I69" s="160" t="s">
        <v>23</v>
      </c>
      <c r="J69" s="149" t="s">
        <v>24</v>
      </c>
      <c r="K69" s="149">
        <v>3</v>
      </c>
      <c r="L69" s="161" t="s">
        <v>77</v>
      </c>
      <c r="M69" s="168" t="s">
        <v>27</v>
      </c>
      <c r="N69" s="159" t="s">
        <v>62</v>
      </c>
      <c r="O69" s="149" t="s">
        <v>29</v>
      </c>
      <c r="P69" s="159"/>
      <c r="Q69" s="12"/>
    </row>
    <row r="70" spans="1:17" s="119" customFormat="1" ht="12.75" customHeight="1">
      <c r="A70" s="149">
        <v>5</v>
      </c>
      <c r="B70" s="148" t="s">
        <v>217</v>
      </c>
      <c r="C70" s="148" t="s">
        <v>229</v>
      </c>
      <c r="D70" s="162" t="s">
        <v>230</v>
      </c>
      <c r="E70" s="163" t="s">
        <v>231</v>
      </c>
      <c r="F70" s="163">
        <f t="shared" si="3"/>
        <v>3129.9702712746193</v>
      </c>
      <c r="G70" s="6">
        <v>33691</v>
      </c>
      <c r="H70" s="10" t="s">
        <v>232</v>
      </c>
      <c r="I70" s="160" t="s">
        <v>91</v>
      </c>
      <c r="J70" s="149" t="s">
        <v>76</v>
      </c>
      <c r="K70" s="149">
        <v>3</v>
      </c>
      <c r="L70" s="161" t="s">
        <v>233</v>
      </c>
      <c r="M70" s="168" t="s">
        <v>27</v>
      </c>
      <c r="N70" s="159" t="s">
        <v>28</v>
      </c>
      <c r="O70" s="149" t="s">
        <v>38</v>
      </c>
      <c r="P70" s="159"/>
      <c r="Q70" s="12"/>
    </row>
    <row r="71" spans="1:17" s="119" customFormat="1" ht="12.75" customHeight="1">
      <c r="A71" s="149">
        <v>6</v>
      </c>
      <c r="B71" s="148" t="s">
        <v>217</v>
      </c>
      <c r="C71" s="148" t="s">
        <v>234</v>
      </c>
      <c r="D71" s="162" t="s">
        <v>235</v>
      </c>
      <c r="E71" s="163" t="s">
        <v>236</v>
      </c>
      <c r="F71" s="163">
        <f t="shared" si="3"/>
        <v>2599.9628390932739</v>
      </c>
      <c r="G71" s="6">
        <v>27986</v>
      </c>
      <c r="H71" s="10" t="s">
        <v>237</v>
      </c>
      <c r="I71" s="160" t="s">
        <v>72</v>
      </c>
      <c r="J71" s="149" t="s">
        <v>194</v>
      </c>
      <c r="K71" s="149">
        <v>3</v>
      </c>
      <c r="L71" s="161" t="s">
        <v>45</v>
      </c>
      <c r="M71" s="168" t="s">
        <v>27</v>
      </c>
      <c r="N71" s="159" t="s">
        <v>28</v>
      </c>
      <c r="O71" s="149" t="s">
        <v>29</v>
      </c>
      <c r="P71" s="159"/>
      <c r="Q71" s="12"/>
    </row>
    <row r="72" spans="1:17" s="119" customFormat="1" ht="12.75" customHeight="1">
      <c r="A72" s="149">
        <v>7</v>
      </c>
      <c r="B72" s="148" t="s">
        <v>217</v>
      </c>
      <c r="C72" s="148" t="s">
        <v>238</v>
      </c>
      <c r="D72" s="162" t="s">
        <v>239</v>
      </c>
      <c r="E72" s="163" t="s">
        <v>167</v>
      </c>
      <c r="F72" s="163">
        <f t="shared" si="3"/>
        <v>8720.9215904868088</v>
      </c>
      <c r="G72" s="6">
        <v>93872</v>
      </c>
      <c r="H72" s="10" t="s">
        <v>80</v>
      </c>
      <c r="I72" s="160" t="s">
        <v>88</v>
      </c>
      <c r="J72" s="149" t="s">
        <v>194</v>
      </c>
      <c r="K72" s="149">
        <v>5</v>
      </c>
      <c r="L72" s="161" t="s">
        <v>26</v>
      </c>
      <c r="M72" s="168" t="s">
        <v>37</v>
      </c>
      <c r="N72" s="159" t="s">
        <v>28</v>
      </c>
      <c r="O72" s="149" t="s">
        <v>29</v>
      </c>
      <c r="P72" s="159"/>
      <c r="Q72" s="12"/>
    </row>
    <row r="73" spans="1:17" s="119" customFormat="1" ht="12.75" customHeight="1">
      <c r="A73" s="149">
        <v>8</v>
      </c>
      <c r="B73" s="148" t="s">
        <v>217</v>
      </c>
      <c r="C73" s="148" t="s">
        <v>240</v>
      </c>
      <c r="D73" s="162" t="s">
        <v>241</v>
      </c>
      <c r="E73" s="163" t="s">
        <v>167</v>
      </c>
      <c r="F73" s="163">
        <f t="shared" si="3"/>
        <v>8840.0222965440371</v>
      </c>
      <c r="G73" s="6">
        <v>95154</v>
      </c>
      <c r="H73" s="10" t="s">
        <v>242</v>
      </c>
      <c r="I73" s="160" t="s">
        <v>88</v>
      </c>
      <c r="J73" s="149" t="s">
        <v>24</v>
      </c>
      <c r="K73" s="149">
        <v>10</v>
      </c>
      <c r="L73" s="161" t="s">
        <v>26</v>
      </c>
      <c r="M73" s="168" t="s">
        <v>103</v>
      </c>
      <c r="N73" s="159" t="s">
        <v>28</v>
      </c>
      <c r="O73" s="149" t="s">
        <v>29</v>
      </c>
      <c r="P73" s="159"/>
      <c r="Q73" s="12"/>
    </row>
    <row r="74" spans="1:17" s="119" customFormat="1" ht="12.75" customHeight="1">
      <c r="A74" s="149">
        <v>9</v>
      </c>
      <c r="B74" s="148" t="s">
        <v>217</v>
      </c>
      <c r="C74" s="148" t="s">
        <v>243</v>
      </c>
      <c r="D74" s="162" t="s">
        <v>241</v>
      </c>
      <c r="E74" s="163" t="s">
        <v>167</v>
      </c>
      <c r="F74" s="163">
        <f t="shared" si="3"/>
        <v>30459.123002601264</v>
      </c>
      <c r="G74" s="6">
        <v>327862</v>
      </c>
      <c r="H74" s="10" t="s">
        <v>244</v>
      </c>
      <c r="I74" s="160" t="s">
        <v>23</v>
      </c>
      <c r="J74" s="149" t="s">
        <v>24</v>
      </c>
      <c r="K74" s="149">
        <v>10</v>
      </c>
      <c r="L74" s="161" t="s">
        <v>26</v>
      </c>
      <c r="M74" s="168" t="s">
        <v>103</v>
      </c>
      <c r="N74" s="159" t="s">
        <v>62</v>
      </c>
      <c r="O74" s="149" t="s">
        <v>29</v>
      </c>
      <c r="P74" s="159"/>
      <c r="Q74" s="12"/>
    </row>
    <row r="75" spans="1:17" s="119" customFormat="1" ht="12.75">
      <c r="A75" s="246" t="s">
        <v>245</v>
      </c>
      <c r="B75" s="246"/>
      <c r="C75" s="246"/>
      <c r="D75" s="246"/>
      <c r="E75" s="246"/>
      <c r="F75" s="238">
        <f>SUM(F66:F74)</f>
        <v>84123.560014864372</v>
      </c>
      <c r="G75" s="249">
        <f>SUM(G66:G74)</f>
        <v>905506</v>
      </c>
      <c r="H75" s="249"/>
      <c r="I75" s="249"/>
      <c r="J75" s="249"/>
      <c r="K75" s="249"/>
      <c r="L75" s="249"/>
      <c r="M75" s="219"/>
      <c r="N75" s="235"/>
      <c r="O75" s="219"/>
      <c r="P75" s="219"/>
      <c r="Q75" s="12"/>
    </row>
    <row r="76" spans="1:17" s="121" customFormat="1" ht="20.25">
      <c r="A76" s="231" t="s">
        <v>246</v>
      </c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6"/>
      <c r="P76" s="239"/>
    </row>
    <row r="77" spans="1:17" s="124" customFormat="1" ht="12.75" customHeight="1">
      <c r="A77" s="10">
        <v>1</v>
      </c>
      <c r="B77" s="5" t="s">
        <v>247</v>
      </c>
      <c r="C77" s="9" t="s">
        <v>248</v>
      </c>
      <c r="D77" s="9" t="s">
        <v>249</v>
      </c>
      <c r="E77" s="10" t="s">
        <v>250</v>
      </c>
      <c r="F77" s="6">
        <f>G77/10.764</f>
        <v>2796.35823114084</v>
      </c>
      <c r="G77" s="6">
        <v>30100</v>
      </c>
      <c r="H77" s="10" t="s">
        <v>251</v>
      </c>
      <c r="I77" s="8" t="s">
        <v>88</v>
      </c>
      <c r="J77" s="6" t="s">
        <v>61</v>
      </c>
      <c r="K77" s="10">
        <v>3</v>
      </c>
      <c r="L77" s="150" t="s">
        <v>26</v>
      </c>
      <c r="M77" s="173" t="s">
        <v>27</v>
      </c>
      <c r="N77" s="173" t="s">
        <v>28</v>
      </c>
      <c r="O77" s="8" t="s">
        <v>29</v>
      </c>
      <c r="P77" s="241"/>
      <c r="Q77" s="242"/>
    </row>
    <row r="78" spans="1:17" s="119" customFormat="1" ht="12.75">
      <c r="A78" s="246" t="s">
        <v>252</v>
      </c>
      <c r="B78" s="250"/>
      <c r="C78" s="250"/>
      <c r="D78" s="250"/>
      <c r="E78" s="250"/>
      <c r="F78" s="125">
        <f>SUM(F77:F77)</f>
        <v>2796.35823114084</v>
      </c>
      <c r="G78" s="249">
        <f>SUM(G77:G77)</f>
        <v>30100</v>
      </c>
      <c r="H78" s="249"/>
      <c r="I78" s="249"/>
      <c r="J78" s="249"/>
      <c r="K78" s="249"/>
      <c r="L78" s="249"/>
      <c r="M78" s="249"/>
      <c r="N78" s="249"/>
      <c r="O78" s="249"/>
      <c r="P78" s="249"/>
      <c r="Q78" s="12"/>
    </row>
    <row r="79" spans="1:17" s="129" customFormat="1" ht="20.25">
      <c r="A79" s="231" t="s">
        <v>253</v>
      </c>
      <c r="B79" s="243"/>
      <c r="C79" s="243"/>
      <c r="D79" s="243"/>
      <c r="E79" s="243"/>
      <c r="F79" s="243"/>
      <c r="G79" s="126"/>
      <c r="H79" s="126"/>
      <c r="I79" s="126"/>
      <c r="J79" s="126"/>
      <c r="K79" s="126"/>
      <c r="L79" s="126"/>
      <c r="M79" s="126"/>
      <c r="N79" s="126"/>
      <c r="O79" s="127"/>
      <c r="P79" s="128"/>
      <c r="Q79" s="16"/>
    </row>
    <row r="80" spans="1:17" s="119" customFormat="1" ht="13.5">
      <c r="A80" s="10">
        <v>1</v>
      </c>
      <c r="B80" s="156" t="s">
        <v>254</v>
      </c>
      <c r="C80" s="9" t="s">
        <v>255</v>
      </c>
      <c r="D80" s="9" t="s">
        <v>256</v>
      </c>
      <c r="E80" s="6" t="s">
        <v>167</v>
      </c>
      <c r="F80" s="6">
        <f>G80/10.764</f>
        <v>4799.981419546637</v>
      </c>
      <c r="G80" s="13">
        <v>51667</v>
      </c>
      <c r="H80" s="14" t="s">
        <v>257</v>
      </c>
      <c r="I80" s="167" t="s">
        <v>96</v>
      </c>
      <c r="J80" s="10" t="s">
        <v>258</v>
      </c>
      <c r="K80" s="14">
        <v>5</v>
      </c>
      <c r="L80" s="11" t="s">
        <v>26</v>
      </c>
      <c r="M80" s="11" t="s">
        <v>259</v>
      </c>
      <c r="N80" s="7" t="s">
        <v>28</v>
      </c>
      <c r="O80" s="10" t="s">
        <v>29</v>
      </c>
      <c r="P80" s="17"/>
      <c r="Q80" s="12"/>
    </row>
    <row r="81" spans="1:16" s="119" customFormat="1" ht="12.75">
      <c r="A81" s="246" t="s">
        <v>260</v>
      </c>
      <c r="B81" s="246"/>
      <c r="C81" s="246"/>
      <c r="D81" s="246"/>
      <c r="E81" s="246" t="s">
        <v>261</v>
      </c>
      <c r="F81" s="238">
        <f>SUM(F80)</f>
        <v>4799.981419546637</v>
      </c>
      <c r="G81" s="249">
        <f>SUM(G80)</f>
        <v>51667</v>
      </c>
      <c r="H81" s="249"/>
      <c r="I81" s="249"/>
      <c r="J81" s="249"/>
      <c r="K81" s="249"/>
      <c r="L81" s="249"/>
      <c r="M81" s="219"/>
      <c r="N81" s="219"/>
      <c r="O81" s="219"/>
      <c r="P81" s="219"/>
    </row>
    <row r="82" spans="1:16" s="121" customFormat="1" ht="20.25">
      <c r="A82" s="231" t="s">
        <v>262</v>
      </c>
      <c r="B82" s="232"/>
      <c r="C82" s="232"/>
      <c r="D82" s="232"/>
      <c r="E82" s="244"/>
      <c r="F82" s="244"/>
      <c r="G82" s="232"/>
      <c r="H82" s="232"/>
      <c r="I82" s="232"/>
      <c r="J82" s="232"/>
      <c r="K82" s="232"/>
      <c r="L82" s="232"/>
      <c r="M82" s="232"/>
      <c r="N82" s="232"/>
      <c r="O82" s="236"/>
      <c r="P82" s="239"/>
    </row>
    <row r="83" spans="1:16" s="118" customFormat="1" ht="13.5">
      <c r="A83" s="10">
        <v>1</v>
      </c>
      <c r="B83" s="148" t="s">
        <v>263</v>
      </c>
      <c r="C83" s="148" t="s">
        <v>264</v>
      </c>
      <c r="D83" s="162" t="s">
        <v>79</v>
      </c>
      <c r="E83" s="163" t="s">
        <v>265</v>
      </c>
      <c r="F83" s="163">
        <f t="shared" ref="F83" si="4">G83/10.764</f>
        <v>18000</v>
      </c>
      <c r="G83" s="6">
        <v>193752</v>
      </c>
      <c r="H83" s="10" t="s">
        <v>80</v>
      </c>
      <c r="I83" s="160" t="s">
        <v>158</v>
      </c>
      <c r="J83" s="149" t="s">
        <v>24</v>
      </c>
      <c r="K83" s="149">
        <v>15</v>
      </c>
      <c r="L83" s="161" t="s">
        <v>26</v>
      </c>
      <c r="M83" s="159" t="s">
        <v>27</v>
      </c>
      <c r="N83" s="159" t="s">
        <v>28</v>
      </c>
      <c r="O83" s="149" t="s">
        <v>29</v>
      </c>
      <c r="P83" s="138"/>
    </row>
    <row r="84" spans="1:16" s="118" customFormat="1" ht="13.5">
      <c r="A84" s="10">
        <v>2</v>
      </c>
      <c r="B84" s="148" t="s">
        <v>263</v>
      </c>
      <c r="C84" s="148" t="s">
        <v>266</v>
      </c>
      <c r="D84" s="162" t="s">
        <v>267</v>
      </c>
      <c r="E84" s="163" t="s">
        <v>48</v>
      </c>
      <c r="F84" s="163">
        <f>G84/10.764</f>
        <v>5500</v>
      </c>
      <c r="G84" s="6">
        <v>59202</v>
      </c>
      <c r="H84" s="10" t="s">
        <v>268</v>
      </c>
      <c r="I84" s="160" t="s">
        <v>72</v>
      </c>
      <c r="J84" s="149" t="s">
        <v>24</v>
      </c>
      <c r="K84" s="149">
        <v>10</v>
      </c>
      <c r="L84" s="161" t="s">
        <v>26</v>
      </c>
      <c r="M84" s="159" t="s">
        <v>27</v>
      </c>
      <c r="N84" s="159" t="s">
        <v>28</v>
      </c>
      <c r="O84" s="149" t="s">
        <v>29</v>
      </c>
      <c r="P84" s="138"/>
    </row>
    <row r="85" spans="1:16" s="118" customFormat="1" ht="13.5">
      <c r="A85" s="10">
        <v>3</v>
      </c>
      <c r="B85" s="148" t="s">
        <v>263</v>
      </c>
      <c r="C85" s="148" t="s">
        <v>269</v>
      </c>
      <c r="D85" s="162" t="s">
        <v>270</v>
      </c>
      <c r="E85" s="163" t="s">
        <v>84</v>
      </c>
      <c r="F85" s="163">
        <f>G85/10.764</f>
        <v>2870.0297287253811</v>
      </c>
      <c r="G85" s="6">
        <v>30893</v>
      </c>
      <c r="H85" s="10" t="s">
        <v>271</v>
      </c>
      <c r="I85" s="160" t="s">
        <v>36</v>
      </c>
      <c r="J85" s="149" t="s">
        <v>24</v>
      </c>
      <c r="K85" s="149">
        <v>7</v>
      </c>
      <c r="L85" s="161" t="s">
        <v>26</v>
      </c>
      <c r="M85" s="159" t="s">
        <v>27</v>
      </c>
      <c r="N85" s="159" t="s">
        <v>62</v>
      </c>
      <c r="O85" s="149" t="s">
        <v>29</v>
      </c>
      <c r="P85" s="138"/>
    </row>
    <row r="86" spans="1:16" s="118" customFormat="1" ht="13.5">
      <c r="A86" s="10">
        <v>4</v>
      </c>
      <c r="B86" s="148" t="s">
        <v>263</v>
      </c>
      <c r="C86" s="148" t="s">
        <v>272</v>
      </c>
      <c r="D86" s="162" t="s">
        <v>273</v>
      </c>
      <c r="E86" s="163" t="s">
        <v>274</v>
      </c>
      <c r="F86" s="163">
        <v>33290.412127191703</v>
      </c>
      <c r="G86" s="6">
        <v>358335</v>
      </c>
      <c r="H86" s="10" t="s">
        <v>80</v>
      </c>
      <c r="I86" s="160" t="s">
        <v>67</v>
      </c>
      <c r="J86" s="149" t="s">
        <v>44</v>
      </c>
      <c r="K86" s="149">
        <v>15</v>
      </c>
      <c r="L86" s="161" t="s">
        <v>26</v>
      </c>
      <c r="M86" s="159" t="s">
        <v>27</v>
      </c>
      <c r="N86" s="159" t="s">
        <v>28</v>
      </c>
      <c r="O86" s="149" t="s">
        <v>29</v>
      </c>
      <c r="P86" s="138"/>
    </row>
    <row r="87" spans="1:16" s="118" customFormat="1" ht="13.5">
      <c r="A87" s="10">
        <v>5</v>
      </c>
      <c r="B87" s="148" t="s">
        <v>263</v>
      </c>
      <c r="C87" s="148" t="s">
        <v>275</v>
      </c>
      <c r="D87" s="162" t="s">
        <v>276</v>
      </c>
      <c r="E87" s="163" t="s">
        <v>274</v>
      </c>
      <c r="F87" s="163">
        <v>1601.3697624747886</v>
      </c>
      <c r="G87" s="6">
        <v>17237</v>
      </c>
      <c r="H87" s="10" t="s">
        <v>277</v>
      </c>
      <c r="I87" s="160" t="s">
        <v>96</v>
      </c>
      <c r="J87" s="149" t="s">
        <v>24</v>
      </c>
      <c r="K87" s="149" t="s">
        <v>278</v>
      </c>
      <c r="L87" s="161" t="s">
        <v>77</v>
      </c>
      <c r="M87" s="159" t="s">
        <v>37</v>
      </c>
      <c r="N87" s="159" t="s">
        <v>28</v>
      </c>
      <c r="O87" s="149" t="s">
        <v>29</v>
      </c>
      <c r="P87" s="150"/>
    </row>
    <row r="88" spans="1:16" s="118" customFormat="1" ht="13.5">
      <c r="A88" s="10">
        <v>6</v>
      </c>
      <c r="B88" s="148" t="s">
        <v>263</v>
      </c>
      <c r="C88" s="148" t="s">
        <v>279</v>
      </c>
      <c r="D88" s="162" t="s">
        <v>276</v>
      </c>
      <c r="E88" s="163" t="s">
        <v>274</v>
      </c>
      <c r="F88" s="163">
        <v>2562.7304576125221</v>
      </c>
      <c r="G88" s="6">
        <v>27585</v>
      </c>
      <c r="H88" s="10" t="s">
        <v>277</v>
      </c>
      <c r="I88" s="160" t="s">
        <v>67</v>
      </c>
      <c r="J88" s="149" t="s">
        <v>24</v>
      </c>
      <c r="K88" s="149" t="s">
        <v>280</v>
      </c>
      <c r="L88" s="161" t="s">
        <v>77</v>
      </c>
      <c r="M88" s="159" t="s">
        <v>37</v>
      </c>
      <c r="N88" s="159" t="s">
        <v>28</v>
      </c>
      <c r="O88" s="149" t="s">
        <v>29</v>
      </c>
      <c r="P88" s="150"/>
    </row>
    <row r="89" spans="1:16" s="118" customFormat="1" ht="13.5">
      <c r="A89" s="10">
        <v>7</v>
      </c>
      <c r="B89" s="148" t="s">
        <v>263</v>
      </c>
      <c r="C89" s="148" t="s">
        <v>281</v>
      </c>
      <c r="D89" s="162" t="s">
        <v>282</v>
      </c>
      <c r="E89" s="163" t="s">
        <v>274</v>
      </c>
      <c r="F89" s="163">
        <f>G89/10.764</f>
        <v>4874.3032329988855</v>
      </c>
      <c r="G89" s="6">
        <v>52467</v>
      </c>
      <c r="H89" s="10" t="s">
        <v>283</v>
      </c>
      <c r="I89" s="160" t="s">
        <v>88</v>
      </c>
      <c r="J89" s="149" t="s">
        <v>24</v>
      </c>
      <c r="K89" s="149">
        <v>1</v>
      </c>
      <c r="L89" s="161" t="s">
        <v>45</v>
      </c>
      <c r="M89" s="159" t="s">
        <v>27</v>
      </c>
      <c r="N89" s="159" t="s">
        <v>28</v>
      </c>
      <c r="O89" s="149" t="s">
        <v>29</v>
      </c>
      <c r="P89" s="150"/>
    </row>
    <row r="90" spans="1:16" s="118" customFormat="1" ht="13.5">
      <c r="A90" s="10">
        <v>8</v>
      </c>
      <c r="B90" s="148" t="s">
        <v>263</v>
      </c>
      <c r="C90" s="148" t="s">
        <v>281</v>
      </c>
      <c r="D90" s="162" t="s">
        <v>276</v>
      </c>
      <c r="E90" s="163" t="s">
        <v>274</v>
      </c>
      <c r="F90" s="163">
        <f>G90/10.764</f>
        <v>7624.9535488665924</v>
      </c>
      <c r="G90" s="6">
        <v>82075</v>
      </c>
      <c r="H90" s="10" t="s">
        <v>284</v>
      </c>
      <c r="I90" s="160" t="s">
        <v>23</v>
      </c>
      <c r="J90" s="149" t="s">
        <v>24</v>
      </c>
      <c r="K90" s="149">
        <v>1</v>
      </c>
      <c r="L90" s="161" t="s">
        <v>45</v>
      </c>
      <c r="M90" s="159" t="s">
        <v>27</v>
      </c>
      <c r="N90" s="159" t="s">
        <v>28</v>
      </c>
      <c r="O90" s="149" t="s">
        <v>29</v>
      </c>
      <c r="P90" s="150"/>
    </row>
    <row r="91" spans="1:16" s="118" customFormat="1" ht="13.5">
      <c r="A91" s="10">
        <v>9</v>
      </c>
      <c r="B91" s="148" t="s">
        <v>263</v>
      </c>
      <c r="C91" s="148" t="s">
        <v>285</v>
      </c>
      <c r="D91" s="162" t="s">
        <v>286</v>
      </c>
      <c r="E91" s="163" t="s">
        <v>153</v>
      </c>
      <c r="F91" s="163">
        <f>G91/10.764</f>
        <v>7123.6529171311786</v>
      </c>
      <c r="G91" s="6">
        <v>76679</v>
      </c>
      <c r="H91" s="10" t="s">
        <v>287</v>
      </c>
      <c r="I91" s="160" t="s">
        <v>158</v>
      </c>
      <c r="J91" s="149" t="s">
        <v>288</v>
      </c>
      <c r="K91" s="149">
        <v>4</v>
      </c>
      <c r="L91" s="161" t="s">
        <v>77</v>
      </c>
      <c r="M91" s="159" t="s">
        <v>37</v>
      </c>
      <c r="N91" s="159" t="s">
        <v>28</v>
      </c>
      <c r="O91" s="149" t="s">
        <v>29</v>
      </c>
      <c r="P91" s="150"/>
    </row>
    <row r="92" spans="1:16" s="118" customFormat="1" ht="13.5">
      <c r="A92" s="10">
        <v>10</v>
      </c>
      <c r="B92" s="148" t="s">
        <v>263</v>
      </c>
      <c r="C92" s="148" t="s">
        <v>289</v>
      </c>
      <c r="D92" s="162" t="s">
        <v>286</v>
      </c>
      <c r="E92" s="163" t="s">
        <v>153</v>
      </c>
      <c r="F92" s="163">
        <f>G92/10.764</f>
        <v>13587.328130806392</v>
      </c>
      <c r="G92" s="6">
        <v>146254</v>
      </c>
      <c r="H92" s="10" t="s">
        <v>290</v>
      </c>
      <c r="I92" s="160" t="s">
        <v>23</v>
      </c>
      <c r="J92" s="149" t="s">
        <v>288</v>
      </c>
      <c r="K92" s="149">
        <v>10</v>
      </c>
      <c r="L92" s="161" t="s">
        <v>77</v>
      </c>
      <c r="M92" s="159" t="s">
        <v>27</v>
      </c>
      <c r="N92" s="159" t="s">
        <v>28</v>
      </c>
      <c r="O92" s="149" t="s">
        <v>29</v>
      </c>
      <c r="P92" s="150"/>
    </row>
    <row r="93" spans="1:16" s="118" customFormat="1" ht="13.5">
      <c r="A93" s="10">
        <v>11</v>
      </c>
      <c r="B93" s="148" t="s">
        <v>263</v>
      </c>
      <c r="C93" s="148" t="s">
        <v>291</v>
      </c>
      <c r="D93" s="162" t="s">
        <v>292</v>
      </c>
      <c r="E93" s="163" t="s">
        <v>293</v>
      </c>
      <c r="F93" s="163">
        <f>G93/10.764</f>
        <v>2560.5722779635826</v>
      </c>
      <c r="G93" s="6">
        <v>27562</v>
      </c>
      <c r="H93" s="10" t="s">
        <v>294</v>
      </c>
      <c r="I93" s="160" t="s">
        <v>88</v>
      </c>
      <c r="J93" s="149" t="s">
        <v>76</v>
      </c>
      <c r="K93" s="149">
        <v>2</v>
      </c>
      <c r="L93" s="161" t="s">
        <v>77</v>
      </c>
      <c r="M93" s="159" t="s">
        <v>37</v>
      </c>
      <c r="N93" s="159" t="s">
        <v>28</v>
      </c>
      <c r="O93" s="149" t="s">
        <v>38</v>
      </c>
      <c r="P93" s="150"/>
    </row>
    <row r="94" spans="1:16" s="119" customFormat="1" ht="12.75">
      <c r="A94" s="246" t="s">
        <v>295</v>
      </c>
      <c r="B94" s="246"/>
      <c r="C94" s="246"/>
      <c r="D94" s="246"/>
      <c r="E94" s="246"/>
      <c r="F94" s="238">
        <f>SUM(F84:F93)</f>
        <v>81595.352183771029</v>
      </c>
      <c r="G94" s="247">
        <f>SUM(G83:G93)</f>
        <v>1072041</v>
      </c>
      <c r="H94" s="247"/>
      <c r="I94" s="247"/>
      <c r="J94" s="247"/>
      <c r="K94" s="247"/>
      <c r="L94" s="247"/>
      <c r="M94" s="219"/>
      <c r="N94" s="235"/>
      <c r="O94" s="219"/>
      <c r="P94" s="219"/>
    </row>
    <row r="95" spans="1:16" s="121" customFormat="1" ht="20.25">
      <c r="A95" s="231" t="s">
        <v>296</v>
      </c>
      <c r="B95" s="232"/>
      <c r="C95" s="232"/>
      <c r="D95" s="232"/>
      <c r="E95" s="244"/>
      <c r="F95" s="244"/>
      <c r="G95" s="232"/>
      <c r="H95" s="232"/>
      <c r="I95" s="232"/>
      <c r="J95" s="232"/>
      <c r="K95" s="232"/>
      <c r="L95" s="232"/>
      <c r="M95" s="232"/>
      <c r="N95" s="232"/>
      <c r="O95" s="236"/>
      <c r="P95" s="239"/>
    </row>
    <row r="96" spans="1:16" s="118" customFormat="1" ht="13.5">
      <c r="A96" s="10">
        <v>1</v>
      </c>
      <c r="B96" s="5" t="s">
        <v>297</v>
      </c>
      <c r="C96" s="5" t="s">
        <v>298</v>
      </c>
      <c r="D96" s="5" t="s">
        <v>299</v>
      </c>
      <c r="E96" s="10" t="s">
        <v>300</v>
      </c>
      <c r="F96" s="6">
        <f>G96/10.764</f>
        <v>5470.8286882199927</v>
      </c>
      <c r="G96" s="6">
        <v>58888</v>
      </c>
      <c r="H96" s="10" t="s">
        <v>301</v>
      </c>
      <c r="I96" s="8" t="s">
        <v>23</v>
      </c>
      <c r="J96" s="10" t="s">
        <v>76</v>
      </c>
      <c r="K96" s="10">
        <v>4</v>
      </c>
      <c r="L96" s="5" t="s">
        <v>26</v>
      </c>
      <c r="M96" s="146" t="s">
        <v>302</v>
      </c>
      <c r="N96" s="217" t="s">
        <v>28</v>
      </c>
      <c r="O96" s="8" t="s">
        <v>29</v>
      </c>
      <c r="P96" s="150"/>
    </row>
    <row r="97" spans="1:16" s="119" customFormat="1" ht="12.75">
      <c r="A97" s="246" t="s">
        <v>303</v>
      </c>
      <c r="B97" s="246"/>
      <c r="C97" s="246"/>
      <c r="D97" s="246"/>
      <c r="E97" s="246"/>
      <c r="F97" s="238">
        <f>SUM(F96)</f>
        <v>5470.8286882199927</v>
      </c>
      <c r="G97" s="249">
        <f>SUM(G96)</f>
        <v>58888</v>
      </c>
      <c r="H97" s="249"/>
      <c r="I97" s="249"/>
      <c r="J97" s="249"/>
      <c r="K97" s="249"/>
      <c r="L97" s="249"/>
      <c r="M97" s="219"/>
      <c r="N97" s="235"/>
      <c r="O97" s="219"/>
      <c r="P97" s="219"/>
    </row>
    <row r="98" spans="1:16" s="133" customFormat="1" ht="17.25">
      <c r="A98" s="248" t="s">
        <v>304</v>
      </c>
      <c r="B98" s="248"/>
      <c r="C98" s="248"/>
      <c r="D98" s="248"/>
      <c r="E98" s="248"/>
      <c r="F98" s="245">
        <f>SUM(F47+F52+F55+F64+F75+F78+F81+F94+F97)</f>
        <v>498579.28009161202</v>
      </c>
      <c r="G98" s="228">
        <f>SUM(G47+G52+G55+G64+G75+G78+G81+G94+G97)</f>
        <v>5560456</v>
      </c>
      <c r="H98" s="130"/>
      <c r="I98" s="131"/>
      <c r="J98" s="130"/>
      <c r="K98" s="132"/>
      <c r="L98" s="130"/>
      <c r="M98" s="130"/>
      <c r="N98" s="130"/>
      <c r="O98" s="132"/>
      <c r="P98" s="130"/>
    </row>
  </sheetData>
  <autoFilter ref="A4:Q98" xr:uid="{10B487AE-2A7F-4F91-B01E-113A24AFDF9F}">
    <filterColumn colId="10">
      <filters>
        <filter val="4"/>
        <filter val="5"/>
        <filter val="7"/>
      </filters>
    </filterColumn>
  </autoFilter>
  <mergeCells count="21">
    <mergeCell ref="A2:P2"/>
    <mergeCell ref="A3:P3"/>
    <mergeCell ref="A55:E55"/>
    <mergeCell ref="G55:L55"/>
    <mergeCell ref="A52:E52"/>
    <mergeCell ref="G52:L52"/>
    <mergeCell ref="A47:E47"/>
    <mergeCell ref="G47:L47"/>
    <mergeCell ref="A94:E94"/>
    <mergeCell ref="G94:L94"/>
    <mergeCell ref="A98:E98"/>
    <mergeCell ref="G75:L75"/>
    <mergeCell ref="A64:E64"/>
    <mergeCell ref="G64:L64"/>
    <mergeCell ref="A75:E75"/>
    <mergeCell ref="A78:E78"/>
    <mergeCell ref="G78:P78"/>
    <mergeCell ref="A81:E81"/>
    <mergeCell ref="G81:L81"/>
    <mergeCell ref="A97:E97"/>
    <mergeCell ref="G97:L97"/>
  </mergeCells>
  <pageMargins left="0.70866141732283472" right="0.70866141732283472" top="0.74803149606299213" bottom="0.74803149606299213" header="0.31496062992125984" footer="0.31496062992125984"/>
  <pageSetup paperSize="17"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"/>
  <sheetViews>
    <sheetView topLeftCell="A22" zoomScaleNormal="100" workbookViewId="0">
      <selection activeCell="I32" sqref="I32"/>
    </sheetView>
  </sheetViews>
  <sheetFormatPr defaultColWidth="11.42578125" defaultRowHeight="15"/>
  <cols>
    <col min="1" max="1" width="3" customWidth="1"/>
    <col min="2" max="2" width="17.7109375" customWidth="1"/>
    <col min="3" max="3" width="27.7109375" customWidth="1"/>
    <col min="4" max="4" width="37.5703125" customWidth="1"/>
    <col min="5" max="5" width="22.42578125" customWidth="1"/>
    <col min="6" max="7" width="21" customWidth="1"/>
    <col min="8" max="8" width="13.5703125" customWidth="1"/>
    <col min="9" max="9" width="18" customWidth="1"/>
    <col min="10" max="10" width="34.42578125" customWidth="1"/>
    <col min="11" max="11" width="11.140625" customWidth="1"/>
  </cols>
  <sheetData>
    <row r="1" spans="1:19" s="1" customFormat="1" ht="22.5">
      <c r="A1" s="261" t="s">
        <v>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0"/>
      <c r="M1" s="20"/>
      <c r="N1" s="20"/>
      <c r="O1" s="20"/>
      <c r="P1" s="21"/>
      <c r="Q1" s="21"/>
      <c r="R1" s="21"/>
      <c r="S1" s="21"/>
    </row>
    <row r="2" spans="1:19" s="1" customFormat="1">
      <c r="A2" s="262" t="s">
        <v>305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1"/>
      <c r="M2" s="21"/>
      <c r="N2" s="21"/>
      <c r="O2" s="21"/>
      <c r="P2" s="21"/>
      <c r="Q2" s="21"/>
      <c r="R2" s="21"/>
      <c r="S2" s="21"/>
    </row>
    <row r="3" spans="1:19" s="24" customFormat="1" ht="15" customHeight="1">
      <c r="A3" s="22"/>
      <c r="B3" s="23"/>
    </row>
    <row r="4" spans="1:19" s="31" customFormat="1" ht="15" customHeight="1">
      <c r="A4" s="25"/>
      <c r="B4" s="26" t="s">
        <v>2</v>
      </c>
      <c r="C4" s="27" t="s">
        <v>306</v>
      </c>
      <c r="D4" s="27" t="s">
        <v>307</v>
      </c>
      <c r="E4" s="27" t="s">
        <v>5</v>
      </c>
      <c r="F4" s="27" t="s">
        <v>308</v>
      </c>
      <c r="G4" s="28" t="s">
        <v>309</v>
      </c>
      <c r="H4" s="29" t="s">
        <v>310</v>
      </c>
      <c r="I4" s="30" t="s">
        <v>311</v>
      </c>
      <c r="J4" s="27" t="s">
        <v>13</v>
      </c>
      <c r="K4" s="27" t="s">
        <v>312</v>
      </c>
      <c r="L4" s="24"/>
      <c r="M4" s="24"/>
      <c r="N4" s="24"/>
      <c r="O4" s="24"/>
      <c r="P4" s="24"/>
      <c r="Q4" s="24"/>
      <c r="R4" s="24"/>
      <c r="S4" s="24"/>
    </row>
    <row r="5" spans="1:19" s="1" customFormat="1" ht="15" customHeight="1">
      <c r="A5" s="32"/>
      <c r="B5" s="253" t="s">
        <v>17</v>
      </c>
      <c r="C5" s="254"/>
      <c r="D5" s="254"/>
      <c r="E5" s="254"/>
      <c r="F5" s="254"/>
      <c r="G5" s="254"/>
      <c r="H5" s="254"/>
      <c r="I5" s="254"/>
      <c r="J5" s="33"/>
      <c r="K5" s="34"/>
      <c r="L5" s="35"/>
      <c r="M5" s="36"/>
      <c r="N5" s="21"/>
      <c r="O5" s="21"/>
      <c r="P5" s="21"/>
      <c r="Q5" s="21"/>
      <c r="R5" s="21"/>
      <c r="S5" s="21"/>
    </row>
    <row r="6" spans="1:19" s="12" customFormat="1" ht="14.25" customHeight="1">
      <c r="A6" s="10">
        <v>1</v>
      </c>
      <c r="B6" s="9" t="s">
        <v>18</v>
      </c>
      <c r="C6" s="9" t="s">
        <v>313</v>
      </c>
      <c r="D6" s="9" t="s">
        <v>314</v>
      </c>
      <c r="E6" s="9" t="s">
        <v>21</v>
      </c>
      <c r="F6" s="41">
        <f t="shared" ref="F6:G12" si="0">H6/10.764</f>
        <v>13838.350055741361</v>
      </c>
      <c r="G6" s="41">
        <f t="shared" si="0"/>
        <v>6624.0245261984401</v>
      </c>
      <c r="H6" s="41">
        <v>148956</v>
      </c>
      <c r="I6" s="41">
        <v>71301</v>
      </c>
      <c r="J6" s="46"/>
      <c r="K6" s="37" t="s">
        <v>29</v>
      </c>
    </row>
    <row r="7" spans="1:19" s="12" customFormat="1" ht="14.25" customHeight="1">
      <c r="A7" s="10">
        <v>2</v>
      </c>
      <c r="B7" s="9" t="s">
        <v>18</v>
      </c>
      <c r="C7" s="9" t="s">
        <v>315</v>
      </c>
      <c r="D7" s="9" t="s">
        <v>316</v>
      </c>
      <c r="E7" s="9" t="s">
        <v>317</v>
      </c>
      <c r="F7" s="41">
        <f t="shared" si="0"/>
        <v>8268.3017465626162</v>
      </c>
      <c r="G7" s="41">
        <f t="shared" si="0"/>
        <v>8268.3017465626162</v>
      </c>
      <c r="H7" s="41">
        <v>89000</v>
      </c>
      <c r="I7" s="41">
        <v>89000</v>
      </c>
      <c r="J7" s="46"/>
      <c r="K7" s="37" t="s">
        <v>29</v>
      </c>
    </row>
    <row r="8" spans="1:19" s="12" customFormat="1" ht="14.25" customHeight="1">
      <c r="A8" s="10">
        <v>3</v>
      </c>
      <c r="B8" s="9" t="s">
        <v>18</v>
      </c>
      <c r="C8" s="9" t="s">
        <v>318</v>
      </c>
      <c r="D8" s="9" t="s">
        <v>319</v>
      </c>
      <c r="E8" s="9" t="s">
        <v>317</v>
      </c>
      <c r="F8" s="41">
        <f>H8/10.764</f>
        <v>9290.2266815310304</v>
      </c>
      <c r="G8" s="41">
        <f>I8/10.764</f>
        <v>9290.2266815310304</v>
      </c>
      <c r="H8" s="41">
        <v>100000</v>
      </c>
      <c r="I8" s="41">
        <v>100000</v>
      </c>
      <c r="J8" s="46"/>
      <c r="K8" s="37" t="s">
        <v>29</v>
      </c>
    </row>
    <row r="9" spans="1:19" s="12" customFormat="1" ht="14.25" customHeight="1">
      <c r="A9" s="10">
        <v>4</v>
      </c>
      <c r="B9" s="9" t="s">
        <v>18</v>
      </c>
      <c r="C9" s="45" t="s">
        <v>320</v>
      </c>
      <c r="D9" s="17" t="s">
        <v>321</v>
      </c>
      <c r="E9" s="17" t="s">
        <v>322</v>
      </c>
      <c r="F9" s="6">
        <f>H9/10.764</f>
        <v>7002.6012634708295</v>
      </c>
      <c r="G9" s="6">
        <f t="shared" si="0"/>
        <v>4269.3236714975847</v>
      </c>
      <c r="H9" s="41">
        <v>75376</v>
      </c>
      <c r="I9" s="6">
        <v>45955</v>
      </c>
      <c r="J9" s="39" t="s">
        <v>323</v>
      </c>
      <c r="K9" s="37" t="s">
        <v>29</v>
      </c>
    </row>
    <row r="10" spans="1:19" s="12" customFormat="1" ht="14.25" customHeight="1">
      <c r="A10" s="10">
        <v>5</v>
      </c>
      <c r="B10" s="9" t="s">
        <v>18</v>
      </c>
      <c r="C10" s="45" t="s">
        <v>324</v>
      </c>
      <c r="D10" s="17" t="s">
        <v>321</v>
      </c>
      <c r="E10" s="17" t="s">
        <v>322</v>
      </c>
      <c r="F10" s="6">
        <f>H10/10.764</f>
        <v>7001.9509476031217</v>
      </c>
      <c r="G10" s="6">
        <f t="shared" si="0"/>
        <v>7001.9509476031217</v>
      </c>
      <c r="H10" s="41">
        <v>75369</v>
      </c>
      <c r="I10" s="41">
        <v>75369</v>
      </c>
      <c r="J10" s="39" t="s">
        <v>323</v>
      </c>
      <c r="K10" s="37" t="s">
        <v>29</v>
      </c>
    </row>
    <row r="11" spans="1:19" s="12" customFormat="1" ht="14.25" customHeight="1">
      <c r="A11" s="10">
        <v>6</v>
      </c>
      <c r="B11" s="9" t="s">
        <v>18</v>
      </c>
      <c r="C11" s="9" t="s">
        <v>228</v>
      </c>
      <c r="D11" s="17" t="s">
        <v>325</v>
      </c>
      <c r="E11" s="17" t="s">
        <v>48</v>
      </c>
      <c r="F11" s="6">
        <f>H11/10.764</f>
        <v>13000</v>
      </c>
      <c r="G11" s="6">
        <f t="shared" si="0"/>
        <v>13000</v>
      </c>
      <c r="H11" s="41">
        <v>139932</v>
      </c>
      <c r="I11" s="41">
        <v>139932</v>
      </c>
      <c r="J11" s="39"/>
      <c r="K11" s="37" t="s">
        <v>29</v>
      </c>
    </row>
    <row r="12" spans="1:19" s="12" customFormat="1" ht="14.25">
      <c r="A12" s="10">
        <v>7</v>
      </c>
      <c r="B12" s="9" t="s">
        <v>18</v>
      </c>
      <c r="C12" s="9" t="s">
        <v>326</v>
      </c>
      <c r="D12" s="9" t="s">
        <v>267</v>
      </c>
      <c r="E12" s="9" t="s">
        <v>327</v>
      </c>
      <c r="F12" s="6">
        <f t="shared" si="0"/>
        <v>23953.548866592348</v>
      </c>
      <c r="G12" s="13">
        <f t="shared" si="0"/>
        <v>11959.215904868079</v>
      </c>
      <c r="H12" s="6">
        <v>257836</v>
      </c>
      <c r="I12" s="6">
        <v>128729</v>
      </c>
      <c r="J12" s="39" t="s">
        <v>323</v>
      </c>
      <c r="K12" s="37" t="s">
        <v>29</v>
      </c>
      <c r="L12" s="40"/>
      <c r="M12" s="40"/>
      <c r="N12" s="40"/>
    </row>
    <row r="13" spans="1:19" s="12" customFormat="1" ht="14.25" customHeight="1">
      <c r="A13" s="10">
        <v>8</v>
      </c>
      <c r="B13" s="9" t="s">
        <v>18</v>
      </c>
      <c r="C13" s="9" t="s">
        <v>328</v>
      </c>
      <c r="D13" s="9" t="s">
        <v>47</v>
      </c>
      <c r="E13" s="9" t="s">
        <v>327</v>
      </c>
      <c r="F13" s="41">
        <f>H13/10.764</f>
        <v>28159.606094388706</v>
      </c>
      <c r="G13" s="42">
        <f>I13/10.764</f>
        <v>28159.606094388706</v>
      </c>
      <c r="H13" s="41">
        <v>303110</v>
      </c>
      <c r="I13" s="41">
        <v>303110</v>
      </c>
      <c r="J13" s="43"/>
      <c r="K13" s="37" t="s">
        <v>29</v>
      </c>
      <c r="L13" s="44"/>
    </row>
    <row r="14" spans="1:19" s="12" customFormat="1" ht="14.25" customHeight="1">
      <c r="A14" s="10">
        <v>9</v>
      </c>
      <c r="B14" s="9" t="s">
        <v>18</v>
      </c>
      <c r="C14" s="9" t="s">
        <v>49</v>
      </c>
      <c r="D14" s="9" t="s">
        <v>47</v>
      </c>
      <c r="E14" s="9" t="s">
        <v>327</v>
      </c>
      <c r="F14" s="41">
        <f t="shared" ref="F14:G20" si="1">H14/10.764</f>
        <v>15400.037160906728</v>
      </c>
      <c r="G14" s="42">
        <f t="shared" si="1"/>
        <v>11400.037160906726</v>
      </c>
      <c r="H14" s="41">
        <v>165766</v>
      </c>
      <c r="I14" s="41">
        <v>122710</v>
      </c>
      <c r="J14" s="43"/>
      <c r="K14" s="37" t="s">
        <v>29</v>
      </c>
      <c r="L14" s="44"/>
    </row>
    <row r="15" spans="1:19" s="12" customFormat="1" ht="14.25" customHeight="1">
      <c r="A15" s="10">
        <v>10</v>
      </c>
      <c r="B15" s="9" t="s">
        <v>18</v>
      </c>
      <c r="C15" s="9" t="s">
        <v>42</v>
      </c>
      <c r="D15" s="9" t="s">
        <v>40</v>
      </c>
      <c r="E15" s="9" t="s">
        <v>41</v>
      </c>
      <c r="F15" s="41">
        <f t="shared" si="1"/>
        <v>22501.300631735416</v>
      </c>
      <c r="G15" s="42">
        <f t="shared" si="1"/>
        <v>6761.612783351914</v>
      </c>
      <c r="H15" s="41">
        <v>242204</v>
      </c>
      <c r="I15" s="41">
        <v>72782</v>
      </c>
      <c r="J15" s="43"/>
      <c r="K15" s="37" t="s">
        <v>29</v>
      </c>
      <c r="L15" s="44"/>
    </row>
    <row r="16" spans="1:19" s="12" customFormat="1" ht="14.25" customHeight="1">
      <c r="A16" s="10">
        <v>11</v>
      </c>
      <c r="B16" s="9" t="s">
        <v>18</v>
      </c>
      <c r="C16" s="9" t="s">
        <v>329</v>
      </c>
      <c r="D16" s="9" t="s">
        <v>40</v>
      </c>
      <c r="E16" s="9" t="s">
        <v>41</v>
      </c>
      <c r="F16" s="41">
        <f t="shared" si="1"/>
        <v>21393.998513563733</v>
      </c>
      <c r="G16" s="42">
        <f t="shared" si="1"/>
        <v>11643.069490895579</v>
      </c>
      <c r="H16" s="41">
        <v>230285</v>
      </c>
      <c r="I16" s="41">
        <v>125326</v>
      </c>
      <c r="J16" s="43"/>
      <c r="K16" s="37" t="s">
        <v>29</v>
      </c>
      <c r="L16" s="44"/>
    </row>
    <row r="17" spans="1:15" s="12" customFormat="1" ht="14.25" customHeight="1">
      <c r="A17" s="10">
        <v>12</v>
      </c>
      <c r="B17" s="9" t="s">
        <v>18</v>
      </c>
      <c r="C17" s="9" t="s">
        <v>330</v>
      </c>
      <c r="D17" s="9" t="s">
        <v>331</v>
      </c>
      <c r="E17" s="9" t="s">
        <v>41</v>
      </c>
      <c r="F17" s="41">
        <f t="shared" si="1"/>
        <v>7264.8643626904504</v>
      </c>
      <c r="G17" s="42">
        <f t="shared" si="1"/>
        <v>7264.8643626904504</v>
      </c>
      <c r="H17" s="41">
        <v>78199</v>
      </c>
      <c r="I17" s="41">
        <v>78199</v>
      </c>
      <c r="J17" s="43"/>
      <c r="K17" s="37" t="s">
        <v>29</v>
      </c>
      <c r="L17" s="44"/>
    </row>
    <row r="18" spans="1:15" s="12" customFormat="1" ht="14.25" customHeight="1">
      <c r="A18" s="10">
        <v>13</v>
      </c>
      <c r="B18" s="9" t="s">
        <v>18</v>
      </c>
      <c r="C18" s="9" t="s">
        <v>332</v>
      </c>
      <c r="D18" s="9" t="s">
        <v>333</v>
      </c>
      <c r="E18" s="9" t="s">
        <v>54</v>
      </c>
      <c r="F18" s="41">
        <f t="shared" si="1"/>
        <v>11803.418803418805</v>
      </c>
      <c r="G18" s="42">
        <f t="shared" si="1"/>
        <v>11803.418803418805</v>
      </c>
      <c r="H18" s="41">
        <v>127052</v>
      </c>
      <c r="I18" s="41">
        <v>127052</v>
      </c>
      <c r="J18" s="43"/>
      <c r="K18" s="37" t="s">
        <v>29</v>
      </c>
      <c r="L18" s="44"/>
    </row>
    <row r="19" spans="1:15" s="12" customFormat="1" ht="14.25" customHeight="1">
      <c r="A19" s="10">
        <v>14</v>
      </c>
      <c r="B19" s="9" t="s">
        <v>18</v>
      </c>
      <c r="C19" s="9" t="s">
        <v>334</v>
      </c>
      <c r="D19" s="9" t="s">
        <v>335</v>
      </c>
      <c r="E19" s="9" t="s">
        <v>54</v>
      </c>
      <c r="F19" s="41">
        <f t="shared" si="1"/>
        <v>9000.2787068004473</v>
      </c>
      <c r="G19" s="42">
        <f t="shared" si="1"/>
        <v>7710.888145670755</v>
      </c>
      <c r="H19" s="41">
        <v>96879</v>
      </c>
      <c r="I19" s="41">
        <v>83000</v>
      </c>
      <c r="J19" s="43"/>
      <c r="K19" s="37" t="s">
        <v>38</v>
      </c>
      <c r="L19" s="44"/>
    </row>
    <row r="20" spans="1:15" s="12" customFormat="1" ht="14.25">
      <c r="A20" s="10">
        <v>15</v>
      </c>
      <c r="B20" s="9" t="s">
        <v>18</v>
      </c>
      <c r="C20" s="5" t="s">
        <v>336</v>
      </c>
      <c r="D20" s="5" t="s">
        <v>58</v>
      </c>
      <c r="E20" s="5" t="s">
        <v>337</v>
      </c>
      <c r="F20" s="6">
        <f t="shared" si="1"/>
        <v>29921.033073206989</v>
      </c>
      <c r="G20" s="42">
        <f t="shared" si="1"/>
        <v>29921.033073206989</v>
      </c>
      <c r="H20" s="6">
        <v>322070</v>
      </c>
      <c r="I20" s="6">
        <v>322070</v>
      </c>
      <c r="J20" s="6"/>
      <c r="K20" s="37" t="s">
        <v>29</v>
      </c>
      <c r="L20" s="147"/>
      <c r="M20" s="40"/>
      <c r="N20" s="40"/>
      <c r="O20" s="40"/>
    </row>
    <row r="21" spans="1:15" s="12" customFormat="1" ht="14.25">
      <c r="A21" s="10">
        <v>16</v>
      </c>
      <c r="B21" s="9" t="s">
        <v>18</v>
      </c>
      <c r="C21" s="5" t="s">
        <v>338</v>
      </c>
      <c r="D21" s="5" t="s">
        <v>58</v>
      </c>
      <c r="E21" s="5" t="s">
        <v>337</v>
      </c>
      <c r="F21" s="6">
        <f t="shared" ref="F21" si="2">H21/10.764</f>
        <v>8303.9762170196955</v>
      </c>
      <c r="G21" s="6">
        <f t="shared" ref="G21:G25" si="3">I21/10.764</f>
        <v>8303.9762170196955</v>
      </c>
      <c r="H21" s="6">
        <v>89384</v>
      </c>
      <c r="I21" s="6">
        <v>89384</v>
      </c>
      <c r="J21" s="6"/>
      <c r="K21" s="37" t="s">
        <v>29</v>
      </c>
      <c r="L21" s="147"/>
      <c r="M21" s="40"/>
      <c r="N21" s="40"/>
      <c r="O21" s="40"/>
    </row>
    <row r="22" spans="1:15" s="12" customFormat="1" ht="14.25">
      <c r="A22" s="10">
        <v>17</v>
      </c>
      <c r="B22" s="9" t="s">
        <v>18</v>
      </c>
      <c r="C22" s="9" t="s">
        <v>71</v>
      </c>
      <c r="D22" s="17" t="s">
        <v>75</v>
      </c>
      <c r="E22" s="17" t="s">
        <v>339</v>
      </c>
      <c r="F22" s="6">
        <f>H22/10.764</f>
        <v>17419.175027870682</v>
      </c>
      <c r="G22" s="6">
        <f t="shared" si="3"/>
        <v>11612.783351913788</v>
      </c>
      <c r="H22" s="41">
        <v>187500</v>
      </c>
      <c r="I22" s="41">
        <v>125000</v>
      </c>
      <c r="J22" s="39"/>
      <c r="K22" s="37" t="s">
        <v>29</v>
      </c>
      <c r="L22" s="40"/>
      <c r="M22" s="40"/>
      <c r="N22" s="40"/>
    </row>
    <row r="23" spans="1:15" s="12" customFormat="1" ht="14.25">
      <c r="A23" s="10">
        <v>18</v>
      </c>
      <c r="B23" s="9" t="s">
        <v>18</v>
      </c>
      <c r="C23" s="9" t="s">
        <v>340</v>
      </c>
      <c r="D23" s="17" t="s">
        <v>83</v>
      </c>
      <c r="E23" s="17" t="s">
        <v>84</v>
      </c>
      <c r="F23" s="6">
        <f>H23/10.764</f>
        <v>9519.9739873652925</v>
      </c>
      <c r="G23" s="6">
        <f t="shared" si="3"/>
        <v>1727.9821627647716</v>
      </c>
      <c r="H23" s="41">
        <v>102473</v>
      </c>
      <c r="I23" s="41">
        <v>18600</v>
      </c>
      <c r="J23" s="39"/>
      <c r="K23" s="37" t="s">
        <v>38</v>
      </c>
      <c r="L23" s="40"/>
      <c r="M23" s="40"/>
      <c r="N23" s="40"/>
    </row>
    <row r="24" spans="1:15" s="12" customFormat="1" ht="14.25">
      <c r="A24" s="10">
        <v>19</v>
      </c>
      <c r="B24" s="9" t="s">
        <v>18</v>
      </c>
      <c r="C24" s="9" t="s">
        <v>341</v>
      </c>
      <c r="D24" s="17" t="s">
        <v>83</v>
      </c>
      <c r="E24" s="17" t="s">
        <v>84</v>
      </c>
      <c r="F24" s="6">
        <f>H24/10.764</f>
        <v>8845.0390189520622</v>
      </c>
      <c r="G24" s="6">
        <f t="shared" si="3"/>
        <v>4799.981419546637</v>
      </c>
      <c r="H24" s="41">
        <v>95208</v>
      </c>
      <c r="I24" s="41">
        <v>51667</v>
      </c>
      <c r="J24" s="39"/>
      <c r="K24" s="37" t="s">
        <v>38</v>
      </c>
      <c r="L24" s="40"/>
      <c r="M24" s="40"/>
      <c r="N24" s="40"/>
    </row>
    <row r="25" spans="1:15" s="12" customFormat="1" ht="14.1" customHeight="1">
      <c r="A25" s="10">
        <v>20</v>
      </c>
      <c r="B25" s="9" t="s">
        <v>18</v>
      </c>
      <c r="C25" s="9" t="s">
        <v>342</v>
      </c>
      <c r="D25" s="9" t="s">
        <v>343</v>
      </c>
      <c r="E25" s="9" t="s">
        <v>94</v>
      </c>
      <c r="F25" s="6">
        <f>H25/10.764</f>
        <v>18727.982162764773</v>
      </c>
      <c r="G25" s="6">
        <f t="shared" si="3"/>
        <v>18727.982162764773</v>
      </c>
      <c r="H25" s="41">
        <v>201588</v>
      </c>
      <c r="I25" s="41">
        <v>201588</v>
      </c>
      <c r="J25" s="13"/>
      <c r="K25" s="37" t="s">
        <v>38</v>
      </c>
      <c r="L25" s="38"/>
    </row>
    <row r="26" spans="1:15" s="12" customFormat="1" ht="14.1" customHeight="1">
      <c r="A26" s="10">
        <v>21</v>
      </c>
      <c r="B26" s="9" t="s">
        <v>18</v>
      </c>
      <c r="C26" s="9" t="s">
        <v>344</v>
      </c>
      <c r="D26" s="9" t="s">
        <v>343</v>
      </c>
      <c r="E26" s="9" t="s">
        <v>94</v>
      </c>
      <c r="F26" s="6">
        <f t="shared" ref="F26:F30" si="4">H26/10.764</f>
        <v>7045.8937198067633</v>
      </c>
      <c r="G26" s="6">
        <f t="shared" ref="G26:G30" si="5">I26/10.764</f>
        <v>7045.8937198067633</v>
      </c>
      <c r="H26" s="41">
        <v>75842</v>
      </c>
      <c r="I26" s="41">
        <v>75842</v>
      </c>
      <c r="J26" s="13"/>
      <c r="K26" s="37" t="s">
        <v>38</v>
      </c>
      <c r="L26" s="38"/>
    </row>
    <row r="27" spans="1:15" s="12" customFormat="1" ht="14.1" customHeight="1">
      <c r="A27" s="10">
        <v>22</v>
      </c>
      <c r="B27" s="9" t="s">
        <v>18</v>
      </c>
      <c r="C27" s="9" t="s">
        <v>345</v>
      </c>
      <c r="D27" s="9" t="s">
        <v>343</v>
      </c>
      <c r="E27" s="9" t="s">
        <v>94</v>
      </c>
      <c r="F27" s="6">
        <f t="shared" si="4"/>
        <v>11301.839464882944</v>
      </c>
      <c r="G27" s="6">
        <f t="shared" si="5"/>
        <v>11301.839464882944</v>
      </c>
      <c r="H27" s="41">
        <v>121653</v>
      </c>
      <c r="I27" s="41">
        <v>121653</v>
      </c>
      <c r="J27" s="13"/>
      <c r="K27" s="37" t="s">
        <v>38</v>
      </c>
      <c r="L27" s="38"/>
    </row>
    <row r="28" spans="1:15" s="12" customFormat="1" ht="14.1" customHeight="1">
      <c r="A28" s="10">
        <v>23</v>
      </c>
      <c r="B28" s="9" t="s">
        <v>18</v>
      </c>
      <c r="C28" s="9" t="s">
        <v>346</v>
      </c>
      <c r="D28" s="9" t="s">
        <v>343</v>
      </c>
      <c r="E28" s="9" t="s">
        <v>94</v>
      </c>
      <c r="F28" s="6">
        <f t="shared" si="4"/>
        <v>8447.4173169825353</v>
      </c>
      <c r="G28" s="6">
        <f t="shared" si="5"/>
        <v>8447.4173169825353</v>
      </c>
      <c r="H28" s="41">
        <v>90928</v>
      </c>
      <c r="I28" s="41">
        <v>90928</v>
      </c>
      <c r="J28" s="13"/>
      <c r="K28" s="37" t="s">
        <v>38</v>
      </c>
      <c r="L28" s="38"/>
    </row>
    <row r="29" spans="1:15" s="12" customFormat="1" ht="14.1" customHeight="1">
      <c r="A29" s="10">
        <v>24</v>
      </c>
      <c r="B29" s="9" t="s">
        <v>18</v>
      </c>
      <c r="C29" s="9" t="s">
        <v>347</v>
      </c>
      <c r="D29" s="9" t="s">
        <v>343</v>
      </c>
      <c r="E29" s="9" t="s">
        <v>94</v>
      </c>
      <c r="F29" s="6">
        <f t="shared" si="4"/>
        <v>8447.4173169825353</v>
      </c>
      <c r="G29" s="6">
        <f t="shared" si="5"/>
        <v>8447.4173169825353</v>
      </c>
      <c r="H29" s="41">
        <v>90928</v>
      </c>
      <c r="I29" s="41">
        <v>90928</v>
      </c>
      <c r="J29" s="13"/>
      <c r="K29" s="37" t="s">
        <v>38</v>
      </c>
      <c r="L29" s="38"/>
    </row>
    <row r="30" spans="1:15" s="12" customFormat="1" ht="14.1" customHeight="1">
      <c r="A30" s="10">
        <v>25</v>
      </c>
      <c r="B30" s="9" t="s">
        <v>18</v>
      </c>
      <c r="C30" s="9" t="s">
        <v>348</v>
      </c>
      <c r="D30" s="9" t="s">
        <v>349</v>
      </c>
      <c r="E30" s="9" t="s">
        <v>94</v>
      </c>
      <c r="F30" s="6">
        <f t="shared" si="4"/>
        <v>6184.0393905611299</v>
      </c>
      <c r="G30" s="6">
        <f t="shared" si="5"/>
        <v>6184.0393905611299</v>
      </c>
      <c r="H30" s="41">
        <v>66565</v>
      </c>
      <c r="I30" s="41">
        <v>66565</v>
      </c>
      <c r="J30" s="13"/>
      <c r="K30" s="37" t="s">
        <v>38</v>
      </c>
      <c r="L30" s="38"/>
    </row>
    <row r="31" spans="1:15" s="12" customFormat="1" ht="14.1" customHeight="1">
      <c r="A31" s="10">
        <v>26</v>
      </c>
      <c r="B31" s="9" t="s">
        <v>18</v>
      </c>
      <c r="C31" s="9" t="s">
        <v>350</v>
      </c>
      <c r="D31" s="9" t="s">
        <v>135</v>
      </c>
      <c r="E31" s="9" t="s">
        <v>132</v>
      </c>
      <c r="F31" s="6">
        <f t="shared" ref="F31:G31" si="6">H31/10.764</f>
        <v>11845.039018952064</v>
      </c>
      <c r="G31" s="6">
        <f t="shared" si="6"/>
        <v>4180.6020066889632</v>
      </c>
      <c r="H31" s="6">
        <v>127500</v>
      </c>
      <c r="I31" s="6">
        <v>45000</v>
      </c>
      <c r="J31" s="13"/>
      <c r="K31" s="37" t="s">
        <v>38</v>
      </c>
      <c r="L31" s="38"/>
    </row>
    <row r="32" spans="1:15" s="12" customFormat="1" ht="14.1" customHeight="1">
      <c r="A32" s="10">
        <v>27</v>
      </c>
      <c r="B32" s="9" t="s">
        <v>18</v>
      </c>
      <c r="C32" s="9" t="s">
        <v>133</v>
      </c>
      <c r="D32" s="9" t="s">
        <v>131</v>
      </c>
      <c r="E32" s="9" t="s">
        <v>132</v>
      </c>
      <c r="F32" s="6">
        <f t="shared" ref="F32:G33" si="7">H32/10.764</f>
        <v>27478.818283166111</v>
      </c>
      <c r="G32" s="6">
        <f t="shared" si="7"/>
        <v>13640.003716090674</v>
      </c>
      <c r="H32" s="6">
        <v>295782</v>
      </c>
      <c r="I32" s="6">
        <v>146821</v>
      </c>
      <c r="J32" s="13"/>
      <c r="K32" s="37" t="s">
        <v>29</v>
      </c>
      <c r="L32" s="38"/>
    </row>
    <row r="33" spans="1:19" s="12" customFormat="1" ht="14.1" customHeight="1">
      <c r="A33" s="10">
        <v>28</v>
      </c>
      <c r="B33" s="9" t="s">
        <v>18</v>
      </c>
      <c r="C33" s="9" t="s">
        <v>351</v>
      </c>
      <c r="D33" s="9" t="s">
        <v>131</v>
      </c>
      <c r="E33" s="9" t="s">
        <v>132</v>
      </c>
      <c r="F33" s="6">
        <f t="shared" si="7"/>
        <v>11612.783351913788</v>
      </c>
      <c r="G33" s="6">
        <f t="shared" si="7"/>
        <v>2322.5566703827576</v>
      </c>
      <c r="H33" s="6">
        <v>125000</v>
      </c>
      <c r="I33" s="6">
        <v>25000</v>
      </c>
      <c r="J33" s="13"/>
      <c r="K33" s="37" t="s">
        <v>29</v>
      </c>
      <c r="L33" s="38"/>
    </row>
    <row r="34" spans="1:19" s="12" customFormat="1" ht="14.25">
      <c r="A34" s="10">
        <v>29</v>
      </c>
      <c r="B34" s="9" t="s">
        <v>18</v>
      </c>
      <c r="C34" s="5" t="s">
        <v>352</v>
      </c>
      <c r="D34" s="5" t="s">
        <v>353</v>
      </c>
      <c r="E34" s="5" t="s">
        <v>153</v>
      </c>
      <c r="F34" s="6">
        <f t="shared" ref="F34:G36" si="8">H34/10.764</f>
        <v>11157.562244518767</v>
      </c>
      <c r="G34" s="6">
        <f t="shared" si="8"/>
        <v>3388.795986622074</v>
      </c>
      <c r="H34" s="6">
        <v>120100</v>
      </c>
      <c r="I34" s="6">
        <v>36477</v>
      </c>
      <c r="J34" s="6"/>
      <c r="K34" s="37" t="s">
        <v>29</v>
      </c>
      <c r="L34" s="147"/>
      <c r="M34" s="40"/>
      <c r="N34" s="40"/>
      <c r="O34" s="40"/>
    </row>
    <row r="35" spans="1:19" s="12" customFormat="1" ht="14.25">
      <c r="A35" s="10">
        <v>30</v>
      </c>
      <c r="B35" s="9" t="s">
        <v>18</v>
      </c>
      <c r="C35" s="5" t="s">
        <v>354</v>
      </c>
      <c r="D35" s="5" t="s">
        <v>353</v>
      </c>
      <c r="E35" s="5" t="s">
        <v>153</v>
      </c>
      <c r="F35" s="6">
        <f t="shared" si="8"/>
        <v>9290.2266815310304</v>
      </c>
      <c r="G35" s="6">
        <f t="shared" si="8"/>
        <v>9290.2266815310304</v>
      </c>
      <c r="H35" s="6">
        <v>100000</v>
      </c>
      <c r="I35" s="6">
        <v>100000</v>
      </c>
      <c r="J35" s="6"/>
      <c r="K35" s="37" t="s">
        <v>29</v>
      </c>
      <c r="L35" s="147"/>
      <c r="M35" s="40"/>
      <c r="N35" s="40"/>
      <c r="O35" s="40"/>
    </row>
    <row r="36" spans="1:19" s="12" customFormat="1" ht="14.25">
      <c r="A36" s="10">
        <v>31</v>
      </c>
      <c r="B36" s="9" t="s">
        <v>18</v>
      </c>
      <c r="C36" s="5" t="s">
        <v>355</v>
      </c>
      <c r="D36" s="5" t="s">
        <v>353</v>
      </c>
      <c r="E36" s="5" t="s">
        <v>153</v>
      </c>
      <c r="F36" s="6">
        <f t="shared" si="8"/>
        <v>8859.0672612411745</v>
      </c>
      <c r="G36" s="6">
        <f t="shared" si="8"/>
        <v>8859.0672612411745</v>
      </c>
      <c r="H36" s="6">
        <v>95359</v>
      </c>
      <c r="I36" s="6">
        <v>95359</v>
      </c>
      <c r="J36" s="6"/>
      <c r="K36" s="37" t="s">
        <v>29</v>
      </c>
      <c r="L36" s="147"/>
      <c r="M36" s="40"/>
      <c r="N36" s="40"/>
      <c r="O36" s="40"/>
    </row>
    <row r="37" spans="1:19" s="12" customFormat="1" ht="14.25">
      <c r="A37" s="10">
        <v>32</v>
      </c>
      <c r="B37" s="9" t="s">
        <v>18</v>
      </c>
      <c r="C37" s="5" t="s">
        <v>356</v>
      </c>
      <c r="D37" s="5" t="s">
        <v>353</v>
      </c>
      <c r="E37" s="5" t="s">
        <v>153</v>
      </c>
      <c r="F37" s="6">
        <v>10697.045707915273</v>
      </c>
      <c r="G37" s="6">
        <v>10697.045707915273</v>
      </c>
      <c r="H37" s="6">
        <v>115143</v>
      </c>
      <c r="I37" s="6">
        <v>115143</v>
      </c>
      <c r="J37" s="6"/>
      <c r="K37" s="37" t="s">
        <v>29</v>
      </c>
      <c r="L37" s="147"/>
      <c r="M37" s="40"/>
      <c r="N37" s="40"/>
      <c r="O37" s="40"/>
    </row>
    <row r="38" spans="1:19" s="12" customFormat="1" ht="14.25">
      <c r="A38" s="10">
        <v>33</v>
      </c>
      <c r="B38" s="9" t="s">
        <v>18</v>
      </c>
      <c r="C38" s="5" t="s">
        <v>168</v>
      </c>
      <c r="D38" s="5" t="s">
        <v>170</v>
      </c>
      <c r="E38" s="5" t="s">
        <v>167</v>
      </c>
      <c r="F38" s="6">
        <f t="shared" ref="F38:G40" si="9">H38/10.764</f>
        <v>5191.9360832404318</v>
      </c>
      <c r="G38" s="6">
        <f t="shared" si="9"/>
        <v>5191.9360832404318</v>
      </c>
      <c r="H38" s="6">
        <v>55886</v>
      </c>
      <c r="I38" s="6">
        <v>55886</v>
      </c>
      <c r="J38" s="6"/>
      <c r="K38" s="37" t="s">
        <v>29</v>
      </c>
      <c r="L38" s="147"/>
      <c r="M38" s="40"/>
      <c r="N38" s="40"/>
      <c r="O38" s="40"/>
    </row>
    <row r="39" spans="1:19" s="12" customFormat="1" ht="14.25">
      <c r="A39" s="10">
        <v>34</v>
      </c>
      <c r="B39" s="9" t="s">
        <v>18</v>
      </c>
      <c r="C39" s="5" t="s">
        <v>357</v>
      </c>
      <c r="D39" s="5" t="s">
        <v>358</v>
      </c>
      <c r="E39" s="5" t="s">
        <v>167</v>
      </c>
      <c r="F39" s="6">
        <f t="shared" si="9"/>
        <v>4944.7231512448907</v>
      </c>
      <c r="G39" s="6">
        <f t="shared" si="9"/>
        <v>4944.7231512448907</v>
      </c>
      <c r="H39" s="6">
        <v>53225</v>
      </c>
      <c r="I39" s="6">
        <v>53225</v>
      </c>
      <c r="J39" s="6"/>
      <c r="K39" s="37" t="s">
        <v>29</v>
      </c>
      <c r="L39" s="147"/>
      <c r="M39" s="40"/>
      <c r="N39" s="40"/>
      <c r="O39" s="40"/>
    </row>
    <row r="40" spans="1:19" s="12" customFormat="1" ht="14.25">
      <c r="A40" s="10">
        <v>35</v>
      </c>
      <c r="B40" s="9" t="s">
        <v>18</v>
      </c>
      <c r="C40" s="5" t="s">
        <v>359</v>
      </c>
      <c r="D40" s="5" t="s">
        <v>358</v>
      </c>
      <c r="E40" s="5" t="s">
        <v>167</v>
      </c>
      <c r="F40" s="6">
        <f t="shared" si="9"/>
        <v>20820.14121144556</v>
      </c>
      <c r="G40" s="6">
        <f t="shared" si="9"/>
        <v>20820.14121144556</v>
      </c>
      <c r="H40" s="6">
        <v>224108</v>
      </c>
      <c r="I40" s="6">
        <v>224108</v>
      </c>
      <c r="J40" s="6"/>
      <c r="K40" s="37" t="s">
        <v>29</v>
      </c>
      <c r="L40" s="147"/>
      <c r="M40" s="40"/>
      <c r="N40" s="40"/>
      <c r="O40" s="40"/>
    </row>
    <row r="41" spans="1:19" s="12" customFormat="1" ht="14.25">
      <c r="A41" s="10"/>
      <c r="B41" s="246" t="s">
        <v>304</v>
      </c>
      <c r="C41" s="246"/>
      <c r="D41" s="246"/>
      <c r="E41" s="246"/>
      <c r="F41" s="246"/>
      <c r="G41" s="246"/>
      <c r="H41" s="246"/>
      <c r="I41" s="47">
        <f>SUM(I6:I40)</f>
        <v>3713709</v>
      </c>
      <c r="J41" s="47"/>
      <c r="K41" s="37"/>
      <c r="L41" s="40"/>
      <c r="M41" s="40"/>
      <c r="N41" s="40"/>
      <c r="O41" s="40"/>
      <c r="P41" s="40"/>
      <c r="Q41" s="40"/>
      <c r="R41" s="40"/>
      <c r="S41" s="40"/>
    </row>
    <row r="42" spans="1:19" s="1" customFormat="1">
      <c r="A42" s="32"/>
      <c r="B42" s="253" t="s">
        <v>216</v>
      </c>
      <c r="C42" s="254"/>
      <c r="D42" s="254"/>
      <c r="E42" s="254"/>
      <c r="F42" s="254"/>
      <c r="G42" s="254"/>
      <c r="H42" s="254"/>
      <c r="I42" s="254"/>
      <c r="J42" s="33"/>
      <c r="K42" s="48"/>
      <c r="L42" s="49"/>
      <c r="M42" s="21"/>
      <c r="N42" s="21"/>
      <c r="O42" s="21"/>
      <c r="P42" s="21"/>
      <c r="Q42" s="21"/>
      <c r="R42" s="21"/>
      <c r="S42" s="21"/>
    </row>
    <row r="43" spans="1:19" s="12" customFormat="1" ht="14.25">
      <c r="A43" s="10">
        <v>1</v>
      </c>
      <c r="B43" s="9" t="s">
        <v>217</v>
      </c>
      <c r="C43" s="9" t="s">
        <v>232</v>
      </c>
      <c r="D43" s="9" t="s">
        <v>224</v>
      </c>
      <c r="E43" s="9" t="s">
        <v>225</v>
      </c>
      <c r="F43" s="6">
        <f t="shared" ref="F43:G44" si="10">H43/10.764</f>
        <v>24639.539204756598</v>
      </c>
      <c r="G43" s="6">
        <f t="shared" si="10"/>
        <v>24639.539204756598</v>
      </c>
      <c r="H43" s="6">
        <v>265220</v>
      </c>
      <c r="I43" s="6">
        <v>265220</v>
      </c>
      <c r="J43" s="6"/>
      <c r="K43" s="37" t="s">
        <v>29</v>
      </c>
      <c r="L43" s="50"/>
      <c r="M43" s="40"/>
      <c r="N43" s="40"/>
      <c r="O43" s="40"/>
      <c r="P43" s="40"/>
      <c r="Q43" s="40"/>
      <c r="R43" s="40"/>
      <c r="S43" s="40"/>
    </row>
    <row r="44" spans="1:19" s="12" customFormat="1" ht="14.25">
      <c r="A44" s="10">
        <v>2</v>
      </c>
      <c r="B44" s="9" t="s">
        <v>217</v>
      </c>
      <c r="C44" s="9" t="s">
        <v>360</v>
      </c>
      <c r="D44" s="9" t="s">
        <v>361</v>
      </c>
      <c r="E44" s="9" t="s">
        <v>339</v>
      </c>
      <c r="F44" s="6">
        <f t="shared" si="10"/>
        <v>10383.872166480864</v>
      </c>
      <c r="G44" s="6">
        <f t="shared" si="10"/>
        <v>5574.1360089186182</v>
      </c>
      <c r="H44" s="6">
        <v>111772</v>
      </c>
      <c r="I44" s="6">
        <v>60000</v>
      </c>
      <c r="J44" s="6"/>
      <c r="K44" s="37" t="s">
        <v>29</v>
      </c>
      <c r="L44" s="50"/>
      <c r="M44" s="40"/>
      <c r="N44" s="40"/>
      <c r="O44" s="40"/>
      <c r="P44" s="40"/>
      <c r="Q44" s="40"/>
      <c r="R44" s="40"/>
      <c r="S44" s="40"/>
    </row>
    <row r="45" spans="1:19" s="12" customFormat="1" ht="14.25">
      <c r="A45" s="10">
        <v>3</v>
      </c>
      <c r="B45" s="9" t="s">
        <v>217</v>
      </c>
      <c r="C45" s="9" t="s">
        <v>362</v>
      </c>
      <c r="D45" s="9" t="s">
        <v>363</v>
      </c>
      <c r="E45" s="9" t="s">
        <v>362</v>
      </c>
      <c r="F45" s="6">
        <f t="shared" ref="F45:G52" si="11">H45/10.764</f>
        <v>10991.267186919362</v>
      </c>
      <c r="G45" s="6">
        <f t="shared" si="11"/>
        <v>10991.267186919362</v>
      </c>
      <c r="H45" s="6">
        <v>118310</v>
      </c>
      <c r="I45" s="6">
        <v>118310</v>
      </c>
      <c r="J45" s="6"/>
      <c r="K45" s="37" t="s">
        <v>86</v>
      </c>
      <c r="L45" s="50"/>
      <c r="M45" s="40"/>
      <c r="N45" s="40"/>
      <c r="O45" s="40"/>
      <c r="P45" s="40"/>
      <c r="Q45" s="40"/>
      <c r="R45" s="40"/>
      <c r="S45" s="40"/>
    </row>
    <row r="46" spans="1:19" s="12" customFormat="1" ht="14.25">
      <c r="A46" s="10">
        <v>4</v>
      </c>
      <c r="B46" s="9" t="s">
        <v>217</v>
      </c>
      <c r="C46" s="9" t="s">
        <v>228</v>
      </c>
      <c r="D46" s="9" t="s">
        <v>235</v>
      </c>
      <c r="E46" s="9" t="s">
        <v>236</v>
      </c>
      <c r="F46" s="6">
        <f t="shared" ref="F46:G48" si="12">H46/10.764</f>
        <v>9570.9773318468979</v>
      </c>
      <c r="G46" s="6">
        <f t="shared" si="12"/>
        <v>9570.9773318468979</v>
      </c>
      <c r="H46" s="6">
        <v>103022</v>
      </c>
      <c r="I46" s="6">
        <v>103022</v>
      </c>
      <c r="J46" s="6"/>
      <c r="K46" s="37" t="s">
        <v>29</v>
      </c>
      <c r="L46" s="50"/>
      <c r="M46" s="40"/>
      <c r="N46" s="40"/>
      <c r="O46" s="40"/>
      <c r="P46" s="40"/>
      <c r="Q46" s="40"/>
      <c r="R46" s="40"/>
      <c r="S46" s="40"/>
    </row>
    <row r="47" spans="1:19" s="12" customFormat="1" ht="14.25">
      <c r="A47" s="10">
        <v>5</v>
      </c>
      <c r="B47" s="9" t="s">
        <v>217</v>
      </c>
      <c r="C47" s="9" t="s">
        <v>364</v>
      </c>
      <c r="D47" s="9" t="s">
        <v>235</v>
      </c>
      <c r="E47" s="9" t="s">
        <v>236</v>
      </c>
      <c r="F47" s="6">
        <f t="shared" si="12"/>
        <v>750</v>
      </c>
      <c r="G47" s="6">
        <f t="shared" si="12"/>
        <v>750</v>
      </c>
      <c r="H47" s="6">
        <v>8073</v>
      </c>
      <c r="I47" s="6">
        <v>8073</v>
      </c>
      <c r="J47" s="6"/>
      <c r="K47" s="37" t="s">
        <v>38</v>
      </c>
      <c r="L47" s="50"/>
      <c r="M47" s="40"/>
      <c r="N47" s="40"/>
      <c r="O47" s="40"/>
      <c r="P47" s="40"/>
      <c r="Q47" s="40"/>
      <c r="R47" s="40"/>
      <c r="S47" s="40"/>
    </row>
    <row r="48" spans="1:19" s="12" customFormat="1" ht="14.25">
      <c r="A48" s="10">
        <v>6</v>
      </c>
      <c r="B48" s="9" t="s">
        <v>217</v>
      </c>
      <c r="C48" s="9" t="s">
        <v>365</v>
      </c>
      <c r="D48" s="9" t="s">
        <v>235</v>
      </c>
      <c r="E48" s="9" t="s">
        <v>236</v>
      </c>
      <c r="F48" s="6">
        <f t="shared" si="12"/>
        <v>700.01858045336314</v>
      </c>
      <c r="G48" s="6">
        <f t="shared" si="12"/>
        <v>700.01858045336314</v>
      </c>
      <c r="H48" s="6">
        <v>7535</v>
      </c>
      <c r="I48" s="6">
        <v>7535</v>
      </c>
      <c r="J48" s="6"/>
      <c r="K48" s="37" t="s">
        <v>38</v>
      </c>
      <c r="L48" s="50"/>
      <c r="M48" s="40"/>
      <c r="N48" s="40"/>
      <c r="O48" s="40"/>
      <c r="P48" s="40"/>
      <c r="Q48" s="40"/>
      <c r="R48" s="40"/>
      <c r="S48" s="40"/>
    </row>
    <row r="49" spans="1:19" s="12" customFormat="1" ht="14.25">
      <c r="A49" s="10">
        <v>7</v>
      </c>
      <c r="B49" s="9" t="s">
        <v>217</v>
      </c>
      <c r="C49" s="9" t="s">
        <v>366</v>
      </c>
      <c r="D49" s="9" t="s">
        <v>219</v>
      </c>
      <c r="E49" s="9" t="s">
        <v>54</v>
      </c>
      <c r="F49" s="6">
        <f t="shared" si="11"/>
        <v>20252.694165737645</v>
      </c>
      <c r="G49" s="6">
        <f t="shared" si="11"/>
        <v>20252.694165737645</v>
      </c>
      <c r="H49" s="6">
        <v>218000</v>
      </c>
      <c r="I49" s="6">
        <v>218000</v>
      </c>
      <c r="J49" s="51" t="s">
        <v>367</v>
      </c>
      <c r="K49" s="37" t="s">
        <v>29</v>
      </c>
      <c r="L49" s="50"/>
      <c r="M49" s="40"/>
      <c r="N49" s="40"/>
      <c r="O49" s="40"/>
      <c r="P49" s="40"/>
      <c r="Q49" s="40"/>
      <c r="R49" s="40"/>
      <c r="S49" s="40"/>
    </row>
    <row r="50" spans="1:19" s="12" customFormat="1" ht="14.25">
      <c r="A50" s="10">
        <v>8</v>
      </c>
      <c r="B50" s="9" t="s">
        <v>217</v>
      </c>
      <c r="C50" s="9" t="s">
        <v>226</v>
      </c>
      <c r="D50" s="9" t="s">
        <v>230</v>
      </c>
      <c r="E50" s="9" t="s">
        <v>231</v>
      </c>
      <c r="F50" s="6">
        <f t="shared" si="11"/>
        <v>2574.0431066518026</v>
      </c>
      <c r="G50" s="6">
        <f t="shared" si="11"/>
        <v>2574.0431066518026</v>
      </c>
      <c r="H50" s="6">
        <v>27707</v>
      </c>
      <c r="I50" s="6">
        <v>27707</v>
      </c>
      <c r="J50" s="51"/>
      <c r="K50" s="37" t="s">
        <v>38</v>
      </c>
      <c r="L50" s="50"/>
      <c r="M50" s="40"/>
      <c r="N50" s="40"/>
      <c r="O50" s="40"/>
      <c r="P50" s="40"/>
      <c r="Q50" s="40"/>
      <c r="R50" s="40"/>
      <c r="S50" s="40"/>
    </row>
    <row r="51" spans="1:19" s="12" customFormat="1" ht="14.25">
      <c r="A51" s="10">
        <v>9</v>
      </c>
      <c r="B51" s="9" t="s">
        <v>217</v>
      </c>
      <c r="C51" s="9" t="s">
        <v>228</v>
      </c>
      <c r="D51" s="9" t="s">
        <v>230</v>
      </c>
      <c r="E51" s="9" t="s">
        <v>231</v>
      </c>
      <c r="F51" s="6">
        <f t="shared" si="11"/>
        <v>2979.00408769974</v>
      </c>
      <c r="G51" s="6">
        <f t="shared" si="11"/>
        <v>2979.00408769974</v>
      </c>
      <c r="H51" s="6">
        <v>32066</v>
      </c>
      <c r="I51" s="6">
        <v>32066</v>
      </c>
      <c r="J51" s="51"/>
      <c r="K51" s="37" t="s">
        <v>38</v>
      </c>
      <c r="L51" s="50"/>
      <c r="M51" s="40"/>
      <c r="N51" s="40"/>
      <c r="O51" s="40"/>
      <c r="P51" s="40"/>
      <c r="Q51" s="40"/>
      <c r="R51" s="40"/>
      <c r="S51" s="40"/>
    </row>
    <row r="52" spans="1:19" s="12" customFormat="1" ht="14.25">
      <c r="A52" s="10">
        <v>10</v>
      </c>
      <c r="B52" s="9" t="s">
        <v>217</v>
      </c>
      <c r="C52" s="9" t="s">
        <v>368</v>
      </c>
      <c r="D52" s="9" t="s">
        <v>230</v>
      </c>
      <c r="E52" s="9" t="s">
        <v>231</v>
      </c>
      <c r="F52" s="6">
        <f t="shared" si="11"/>
        <v>2513.0063173541434</v>
      </c>
      <c r="G52" s="6">
        <f>I52/10.764</f>
        <v>2513.0063173541434</v>
      </c>
      <c r="H52" s="6">
        <v>27050</v>
      </c>
      <c r="I52" s="6">
        <v>27050</v>
      </c>
      <c r="J52" s="51"/>
      <c r="K52" s="37" t="s">
        <v>38</v>
      </c>
      <c r="L52" s="50"/>
      <c r="M52" s="40"/>
      <c r="N52" s="40"/>
      <c r="O52" s="40"/>
      <c r="P52" s="40"/>
      <c r="Q52" s="40"/>
      <c r="R52" s="40"/>
      <c r="S52" s="40"/>
    </row>
    <row r="53" spans="1:19" s="12" customFormat="1" ht="14.25">
      <c r="A53" s="10"/>
      <c r="B53" s="246" t="s">
        <v>304</v>
      </c>
      <c r="C53" s="246"/>
      <c r="D53" s="246"/>
      <c r="E53" s="246"/>
      <c r="F53" s="246"/>
      <c r="G53" s="246"/>
      <c r="H53" s="246"/>
      <c r="I53" s="47">
        <f>SUM(I43:I52)</f>
        <v>866983</v>
      </c>
      <c r="J53" s="47"/>
      <c r="K53" s="10"/>
      <c r="L53" s="40"/>
      <c r="M53" s="40"/>
      <c r="N53" s="40"/>
    </row>
    <row r="54" spans="1:19" s="1" customFormat="1">
      <c r="A54" s="32"/>
      <c r="B54" s="253" t="s">
        <v>188</v>
      </c>
      <c r="C54" s="254"/>
      <c r="D54" s="254"/>
      <c r="E54" s="254"/>
      <c r="F54" s="254"/>
      <c r="G54" s="254"/>
      <c r="H54" s="254"/>
      <c r="I54" s="254"/>
      <c r="J54" s="33"/>
      <c r="K54" s="52"/>
      <c r="L54" s="21"/>
      <c r="M54" s="21"/>
      <c r="N54" s="21"/>
      <c r="O54" s="21"/>
      <c r="P54" s="21"/>
      <c r="Q54" s="21"/>
      <c r="R54" s="21"/>
      <c r="S54" s="21"/>
    </row>
    <row r="55" spans="1:19" s="12" customFormat="1" ht="14.1" customHeight="1">
      <c r="A55" s="10">
        <v>1</v>
      </c>
      <c r="B55" s="9" t="s">
        <v>189</v>
      </c>
      <c r="C55" s="9" t="s">
        <v>369</v>
      </c>
      <c r="D55" s="9" t="s">
        <v>200</v>
      </c>
      <c r="E55" s="9" t="s">
        <v>94</v>
      </c>
      <c r="F55" s="6">
        <f t="shared" ref="F55:G55" si="13">H55/10.764</f>
        <v>15670.011148272019</v>
      </c>
      <c r="G55" s="6">
        <f t="shared" si="13"/>
        <v>7191.0070605722785</v>
      </c>
      <c r="H55" s="6">
        <v>168672</v>
      </c>
      <c r="I55" s="6">
        <v>77404</v>
      </c>
      <c r="J55" s="6"/>
      <c r="K55" s="37" t="s">
        <v>86</v>
      </c>
      <c r="L55" s="40"/>
      <c r="M55" s="40"/>
      <c r="N55" s="40"/>
    </row>
    <row r="56" spans="1:19" s="12" customFormat="1" ht="14.1" customHeight="1">
      <c r="A56" s="10">
        <v>2</v>
      </c>
      <c r="B56" s="9" t="s">
        <v>189</v>
      </c>
      <c r="C56" s="9" t="s">
        <v>193</v>
      </c>
      <c r="D56" s="9" t="s">
        <v>191</v>
      </c>
      <c r="E56" s="9" t="s">
        <v>192</v>
      </c>
      <c r="F56" s="6">
        <f t="shared" ref="F56:G57" si="14">H56/10.764</f>
        <v>9375.9754738015617</v>
      </c>
      <c r="G56" s="6">
        <f t="shared" si="14"/>
        <v>1556.4845782237087</v>
      </c>
      <c r="H56" s="6">
        <v>100923</v>
      </c>
      <c r="I56" s="6">
        <v>16754</v>
      </c>
      <c r="J56" s="39"/>
      <c r="K56" s="37" t="s">
        <v>29</v>
      </c>
      <c r="L56" s="40"/>
      <c r="M56" s="40"/>
      <c r="N56" s="40"/>
    </row>
    <row r="57" spans="1:19" s="12" customFormat="1" ht="14.1" customHeight="1">
      <c r="A57" s="10">
        <v>3</v>
      </c>
      <c r="B57" s="9" t="s">
        <v>189</v>
      </c>
      <c r="C57" s="9" t="s">
        <v>197</v>
      </c>
      <c r="D57" s="9" t="s">
        <v>191</v>
      </c>
      <c r="E57" s="9" t="s">
        <v>192</v>
      </c>
      <c r="F57" s="6">
        <f t="shared" si="14"/>
        <v>9375.9754738015617</v>
      </c>
      <c r="G57" s="6">
        <f t="shared" si="14"/>
        <v>4689.0561129691569</v>
      </c>
      <c r="H57" s="6">
        <v>100923</v>
      </c>
      <c r="I57" s="6">
        <v>50473</v>
      </c>
      <c r="J57" s="39"/>
      <c r="K57" s="37" t="s">
        <v>29</v>
      </c>
      <c r="L57" s="40"/>
      <c r="M57" s="40"/>
      <c r="N57" s="40"/>
    </row>
    <row r="58" spans="1:19" s="12" customFormat="1" ht="14.1" customHeight="1">
      <c r="A58" s="10">
        <v>4</v>
      </c>
      <c r="B58" s="9" t="s">
        <v>189</v>
      </c>
      <c r="C58" s="9" t="s">
        <v>370</v>
      </c>
      <c r="D58" s="9" t="s">
        <v>191</v>
      </c>
      <c r="E58" s="9" t="s">
        <v>192</v>
      </c>
      <c r="F58" s="6">
        <f t="shared" ref="F58" si="15">H58/10.764</f>
        <v>9375.9754738015617</v>
      </c>
      <c r="G58" s="6">
        <f t="shared" ref="G58" si="16">I58/10.764</f>
        <v>9375.9754738015617</v>
      </c>
      <c r="H58" s="6">
        <v>100923</v>
      </c>
      <c r="I58" s="6">
        <v>100923</v>
      </c>
      <c r="J58" s="39"/>
      <c r="K58" s="37" t="s">
        <v>29</v>
      </c>
      <c r="L58" s="40"/>
      <c r="M58" s="40"/>
      <c r="N58" s="40"/>
    </row>
    <row r="59" spans="1:19" s="12" customFormat="1" ht="14.1" customHeight="1">
      <c r="A59" s="10"/>
      <c r="B59" s="246" t="s">
        <v>304</v>
      </c>
      <c r="C59" s="246"/>
      <c r="D59" s="246"/>
      <c r="E59" s="246"/>
      <c r="F59" s="246"/>
      <c r="G59" s="246"/>
      <c r="H59" s="246"/>
      <c r="I59" s="47">
        <f>SUM(I55:I58)</f>
        <v>245554</v>
      </c>
      <c r="J59" s="47"/>
      <c r="K59" s="10"/>
      <c r="L59" s="40"/>
      <c r="M59" s="40"/>
      <c r="N59" s="40"/>
      <c r="O59" s="40"/>
      <c r="P59" s="40"/>
      <c r="Q59" s="40"/>
      <c r="R59" s="40"/>
      <c r="S59" s="40"/>
    </row>
    <row r="60" spans="1:19" s="1" customFormat="1">
      <c r="A60" s="32"/>
      <c r="B60" s="253" t="s">
        <v>172</v>
      </c>
      <c r="C60" s="254"/>
      <c r="D60" s="254"/>
      <c r="E60" s="254"/>
      <c r="F60" s="254"/>
      <c r="G60" s="254"/>
      <c r="H60" s="254"/>
      <c r="I60" s="254"/>
      <c r="J60" s="33"/>
      <c r="K60" s="52"/>
      <c r="L60" s="21"/>
      <c r="M60" s="21"/>
      <c r="N60" s="21"/>
      <c r="O60" s="21"/>
      <c r="P60" s="21"/>
      <c r="Q60" s="21"/>
      <c r="R60" s="21"/>
      <c r="S60" s="21"/>
    </row>
    <row r="61" spans="1:19" s="12" customFormat="1" ht="14.1" customHeight="1">
      <c r="A61" s="10">
        <v>1</v>
      </c>
      <c r="B61" s="9" t="s">
        <v>371</v>
      </c>
      <c r="C61" s="9" t="s">
        <v>372</v>
      </c>
      <c r="D61" s="9" t="s">
        <v>373</v>
      </c>
      <c r="E61" s="9" t="s">
        <v>41</v>
      </c>
      <c r="F61" s="6">
        <f>H61/10.764</f>
        <v>15545.98662207358</v>
      </c>
      <c r="G61" s="6">
        <f>I61/10.764</f>
        <v>15545.98662207358</v>
      </c>
      <c r="H61" s="6">
        <v>167337</v>
      </c>
      <c r="I61" s="6">
        <v>167337</v>
      </c>
      <c r="J61" s="39"/>
      <c r="K61" s="37" t="s">
        <v>29</v>
      </c>
    </row>
    <row r="62" spans="1:19" s="12" customFormat="1" ht="14.1" customHeight="1">
      <c r="A62" s="10">
        <v>2</v>
      </c>
      <c r="B62" s="9" t="s">
        <v>371</v>
      </c>
      <c r="C62" s="9" t="s">
        <v>374</v>
      </c>
      <c r="D62" s="9" t="s">
        <v>181</v>
      </c>
      <c r="E62" s="9" t="s">
        <v>182</v>
      </c>
      <c r="F62" s="6">
        <f t="shared" ref="F62:G64" si="17">H62/10.764</f>
        <v>27153.753251579339</v>
      </c>
      <c r="G62" s="6">
        <f t="shared" si="17"/>
        <v>27153.753251579339</v>
      </c>
      <c r="H62" s="6">
        <v>292283</v>
      </c>
      <c r="I62" s="6">
        <v>292283</v>
      </c>
      <c r="J62" s="39"/>
      <c r="K62" s="37" t="s">
        <v>29</v>
      </c>
    </row>
    <row r="63" spans="1:19" s="12" customFormat="1" ht="14.1" customHeight="1">
      <c r="A63" s="10">
        <v>3</v>
      </c>
      <c r="B63" s="9" t="s">
        <v>371</v>
      </c>
      <c r="C63" s="9" t="s">
        <v>375</v>
      </c>
      <c r="D63" s="9" t="s">
        <v>376</v>
      </c>
      <c r="E63" s="9" t="s">
        <v>182</v>
      </c>
      <c r="F63" s="6">
        <f t="shared" si="17"/>
        <v>20134.801189149017</v>
      </c>
      <c r="G63" s="6">
        <f t="shared" si="17"/>
        <v>20134.801189149017</v>
      </c>
      <c r="H63" s="6">
        <v>216731</v>
      </c>
      <c r="I63" s="6">
        <v>216731</v>
      </c>
      <c r="J63" s="39"/>
      <c r="K63" s="37" t="s">
        <v>29</v>
      </c>
    </row>
    <row r="64" spans="1:19" s="12" customFormat="1" ht="14.1" customHeight="1">
      <c r="A64" s="10">
        <v>4</v>
      </c>
      <c r="B64" s="9" t="s">
        <v>371</v>
      </c>
      <c r="C64" s="9" t="s">
        <v>35</v>
      </c>
      <c r="D64" s="9" t="s">
        <v>377</v>
      </c>
      <c r="E64" s="9" t="s">
        <v>378</v>
      </c>
      <c r="F64" s="6">
        <f t="shared" si="17"/>
        <v>19012.634708286885</v>
      </c>
      <c r="G64" s="6">
        <f t="shared" si="17"/>
        <v>19012.634708286885</v>
      </c>
      <c r="H64" s="6">
        <v>204652</v>
      </c>
      <c r="I64" s="6">
        <v>204652</v>
      </c>
      <c r="J64" s="39"/>
      <c r="K64" s="37" t="s">
        <v>29</v>
      </c>
    </row>
    <row r="65" spans="1:19" s="12" customFormat="1" ht="14.1" customHeight="1">
      <c r="A65" s="10">
        <v>5</v>
      </c>
      <c r="B65" s="9" t="s">
        <v>371</v>
      </c>
      <c r="C65" s="9" t="s">
        <v>379</v>
      </c>
      <c r="D65" s="9" t="s">
        <v>175</v>
      </c>
      <c r="E65" s="9" t="s">
        <v>54</v>
      </c>
      <c r="F65" s="6">
        <f t="shared" ref="F65:G66" si="18">H65/10.764</f>
        <v>11284.28093645485</v>
      </c>
      <c r="G65" s="6">
        <f t="shared" si="18"/>
        <v>4197.0457079152729</v>
      </c>
      <c r="H65" s="6">
        <v>121464</v>
      </c>
      <c r="I65" s="6">
        <f>H65-76287</f>
        <v>45177</v>
      </c>
      <c r="J65" s="39" t="s">
        <v>380</v>
      </c>
      <c r="K65" s="37" t="s">
        <v>38</v>
      </c>
    </row>
    <row r="66" spans="1:19" s="12" customFormat="1" ht="14.1" customHeight="1">
      <c r="A66" s="10">
        <v>6</v>
      </c>
      <c r="B66" s="9" t="s">
        <v>371</v>
      </c>
      <c r="C66" s="9" t="s">
        <v>381</v>
      </c>
      <c r="D66" s="9" t="s">
        <v>175</v>
      </c>
      <c r="E66" s="9" t="s">
        <v>382</v>
      </c>
      <c r="F66" s="6">
        <f t="shared" si="18"/>
        <v>7896.6926793013754</v>
      </c>
      <c r="G66" s="6">
        <f t="shared" si="18"/>
        <v>7896.6926793013754</v>
      </c>
      <c r="H66" s="6">
        <v>85000</v>
      </c>
      <c r="I66" s="6">
        <v>85000</v>
      </c>
      <c r="J66" s="39"/>
      <c r="K66" s="37" t="s">
        <v>38</v>
      </c>
      <c r="L66" s="40"/>
      <c r="M66" s="40"/>
    </row>
    <row r="67" spans="1:19" s="12" customFormat="1" ht="14.1" customHeight="1">
      <c r="A67" s="10">
        <v>7</v>
      </c>
      <c r="B67" s="9" t="s">
        <v>371</v>
      </c>
      <c r="C67" s="9" t="s">
        <v>383</v>
      </c>
      <c r="D67" s="9" t="s">
        <v>377</v>
      </c>
      <c r="E67" s="9" t="s">
        <v>384</v>
      </c>
      <c r="F67" s="6">
        <f>H67/10.764</f>
        <v>12417.967298402082</v>
      </c>
      <c r="G67" s="6">
        <f>I67/10.764</f>
        <v>12417.967298402082</v>
      </c>
      <c r="H67" s="6">
        <v>133667</v>
      </c>
      <c r="I67" s="6">
        <v>133667</v>
      </c>
      <c r="J67" s="39"/>
      <c r="K67" s="37" t="s">
        <v>29</v>
      </c>
      <c r="L67" s="40"/>
      <c r="M67" s="40"/>
    </row>
    <row r="68" spans="1:19" s="12" customFormat="1" ht="14.1" customHeight="1">
      <c r="A68" s="10"/>
      <c r="B68" s="246" t="s">
        <v>304</v>
      </c>
      <c r="C68" s="246"/>
      <c r="D68" s="246"/>
      <c r="E68" s="246"/>
      <c r="F68" s="246"/>
      <c r="G68" s="246"/>
      <c r="H68" s="246"/>
      <c r="I68" s="47">
        <f>SUM(I61:I67)</f>
        <v>1144847</v>
      </c>
      <c r="J68" s="47"/>
      <c r="K68" s="5"/>
      <c r="L68" s="40"/>
      <c r="M68" s="40"/>
    </row>
    <row r="69" spans="1:19" s="1" customFormat="1" ht="14.1" customHeight="1">
      <c r="A69" s="32"/>
      <c r="B69" s="253" t="s">
        <v>296</v>
      </c>
      <c r="C69" s="254"/>
      <c r="D69" s="254"/>
      <c r="E69" s="254"/>
      <c r="F69" s="254"/>
      <c r="G69" s="254"/>
      <c r="H69" s="254"/>
      <c r="I69" s="254"/>
      <c r="J69" s="33"/>
      <c r="K69" s="32"/>
      <c r="L69" s="21"/>
      <c r="M69" s="21"/>
    </row>
    <row r="70" spans="1:19" s="12" customFormat="1" ht="14.1" customHeight="1">
      <c r="A70" s="10">
        <v>1</v>
      </c>
      <c r="B70" s="9"/>
      <c r="C70" s="9"/>
      <c r="D70" s="9"/>
      <c r="E70" s="9"/>
      <c r="F70" s="6"/>
      <c r="G70" s="6"/>
      <c r="H70" s="6"/>
      <c r="I70" s="6"/>
      <c r="J70" s="6"/>
      <c r="K70" s="37"/>
      <c r="L70" s="40"/>
      <c r="M70" s="40"/>
    </row>
    <row r="71" spans="1:19" s="12" customFormat="1" ht="14.1" customHeight="1">
      <c r="A71" s="10"/>
      <c r="B71" s="255" t="s">
        <v>304</v>
      </c>
      <c r="C71" s="256"/>
      <c r="D71" s="256"/>
      <c r="E71" s="256"/>
      <c r="F71" s="256"/>
      <c r="G71" s="256"/>
      <c r="H71" s="257"/>
      <c r="I71" s="53">
        <f>SUM(I70:I70)</f>
        <v>0</v>
      </c>
      <c r="J71" s="53"/>
      <c r="K71" s="10"/>
      <c r="L71" s="40"/>
      <c r="M71" s="40"/>
    </row>
    <row r="72" spans="1:19" s="1" customFormat="1">
      <c r="A72" s="32"/>
      <c r="B72" s="260" t="s">
        <v>185</v>
      </c>
      <c r="C72" s="260"/>
      <c r="D72" s="260"/>
      <c r="E72" s="260"/>
      <c r="F72" s="260"/>
      <c r="G72" s="260"/>
      <c r="H72" s="260"/>
      <c r="I72" s="260"/>
      <c r="J72" s="32"/>
      <c r="K72" s="34"/>
      <c r="L72" s="21"/>
      <c r="M72" s="21"/>
    </row>
    <row r="73" spans="1:19" s="12" customFormat="1" ht="14.25">
      <c r="A73" s="10">
        <v>1</v>
      </c>
      <c r="B73" s="5" t="s">
        <v>186</v>
      </c>
      <c r="C73" s="5" t="s">
        <v>385</v>
      </c>
      <c r="D73" s="5" t="s">
        <v>386</v>
      </c>
      <c r="E73" s="5" t="s">
        <v>387</v>
      </c>
      <c r="F73" s="6">
        <f>H73/10.764</f>
        <v>9711.9100706057234</v>
      </c>
      <c r="G73" s="6">
        <f>I73/10.764</f>
        <v>9711.9100706057234</v>
      </c>
      <c r="H73" s="6">
        <v>104539</v>
      </c>
      <c r="I73" s="6">
        <v>104539</v>
      </c>
      <c r="J73" s="54"/>
      <c r="K73" s="37" t="s">
        <v>29</v>
      </c>
      <c r="L73" s="40"/>
      <c r="M73" s="40"/>
    </row>
    <row r="74" spans="1:19" s="12" customFormat="1" ht="14.25">
      <c r="A74" s="10">
        <v>2</v>
      </c>
      <c r="B74" s="5" t="s">
        <v>186</v>
      </c>
      <c r="C74" s="5" t="s">
        <v>388</v>
      </c>
      <c r="D74" s="5" t="s">
        <v>386</v>
      </c>
      <c r="E74" s="5" t="s">
        <v>387</v>
      </c>
      <c r="F74" s="6">
        <f>H74/10.764</f>
        <v>6243.0323299888523</v>
      </c>
      <c r="G74" s="6">
        <f>I74/10.764</f>
        <v>6243.0323299888523</v>
      </c>
      <c r="H74" s="6">
        <v>67200</v>
      </c>
      <c r="I74" s="6">
        <v>67200</v>
      </c>
      <c r="J74" s="54"/>
      <c r="K74" s="37" t="s">
        <v>29</v>
      </c>
      <c r="L74" s="40"/>
      <c r="M74" s="40"/>
    </row>
    <row r="75" spans="1:19" s="12" customFormat="1" ht="14.25">
      <c r="A75" s="10"/>
      <c r="B75" s="246" t="s">
        <v>304</v>
      </c>
      <c r="C75" s="246"/>
      <c r="D75" s="246"/>
      <c r="E75" s="246"/>
      <c r="F75" s="246"/>
      <c r="G75" s="246"/>
      <c r="H75" s="246"/>
      <c r="I75" s="47">
        <f>SUM(I73:I73)</f>
        <v>104539</v>
      </c>
      <c r="J75" s="47"/>
      <c r="K75" s="10"/>
      <c r="L75" s="40"/>
      <c r="M75" s="40"/>
      <c r="N75" s="40"/>
      <c r="O75" s="40"/>
    </row>
    <row r="76" spans="1:19" s="1" customFormat="1" ht="14.1" customHeight="1">
      <c r="A76" s="32"/>
      <c r="B76" s="253" t="s">
        <v>246</v>
      </c>
      <c r="C76" s="254"/>
      <c r="D76" s="254"/>
      <c r="E76" s="254"/>
      <c r="F76" s="254"/>
      <c r="G76" s="254"/>
      <c r="H76" s="254"/>
      <c r="I76" s="254"/>
      <c r="J76" s="33"/>
      <c r="K76" s="48"/>
      <c r="L76" s="55"/>
      <c r="M76" s="21"/>
      <c r="N76" s="21"/>
      <c r="O76" s="21"/>
      <c r="P76" s="21"/>
      <c r="Q76" s="21"/>
      <c r="R76" s="21"/>
      <c r="S76" s="21"/>
    </row>
    <row r="77" spans="1:19" s="12" customFormat="1" ht="14.1" customHeight="1">
      <c r="A77" s="10">
        <v>1</v>
      </c>
      <c r="B77" s="9" t="s">
        <v>247</v>
      </c>
      <c r="C77" s="9" t="s">
        <v>389</v>
      </c>
      <c r="D77" s="9" t="s">
        <v>390</v>
      </c>
      <c r="E77" s="9" t="s">
        <v>317</v>
      </c>
      <c r="F77" s="6">
        <f>H77/10.764</f>
        <v>7669.1750278706804</v>
      </c>
      <c r="G77" s="6">
        <f>I77/10.764</f>
        <v>7669.1750278706804</v>
      </c>
      <c r="H77" s="56">
        <v>82551</v>
      </c>
      <c r="I77" s="6">
        <v>82551</v>
      </c>
      <c r="J77" s="56"/>
      <c r="K77" s="37"/>
      <c r="L77" s="57"/>
      <c r="M77" s="40"/>
      <c r="N77" s="40"/>
      <c r="O77" s="40"/>
      <c r="P77" s="40"/>
      <c r="Q77" s="40"/>
      <c r="R77" s="40"/>
      <c r="S77" s="40"/>
    </row>
    <row r="78" spans="1:19" s="12" customFormat="1" ht="14.1" customHeight="1">
      <c r="A78" s="10">
        <v>2</v>
      </c>
      <c r="B78" s="9" t="s">
        <v>247</v>
      </c>
      <c r="C78" s="9" t="s">
        <v>391</v>
      </c>
      <c r="D78" s="9" t="s">
        <v>392</v>
      </c>
      <c r="E78" s="9" t="s">
        <v>393</v>
      </c>
      <c r="F78" s="6">
        <f t="shared" ref="F78:G88" si="19">H78/10.764</f>
        <v>2906.3545150501673</v>
      </c>
      <c r="G78" s="6">
        <f t="shared" si="19"/>
        <v>2906.3545150501673</v>
      </c>
      <c r="H78" s="56">
        <v>31284</v>
      </c>
      <c r="I78" s="6">
        <v>31284</v>
      </c>
      <c r="J78" s="56"/>
      <c r="K78" s="37" t="s">
        <v>29</v>
      </c>
      <c r="L78" s="57"/>
      <c r="M78" s="40"/>
      <c r="N78" s="40"/>
      <c r="O78" s="40"/>
      <c r="P78" s="40"/>
      <c r="Q78" s="40"/>
      <c r="R78" s="40"/>
      <c r="S78" s="40"/>
    </row>
    <row r="79" spans="1:19" s="12" customFormat="1" ht="14.1" customHeight="1">
      <c r="A79" s="10">
        <v>3</v>
      </c>
      <c r="B79" s="9" t="s">
        <v>247</v>
      </c>
      <c r="C79" s="155" t="s">
        <v>394</v>
      </c>
      <c r="D79" s="9" t="s">
        <v>395</v>
      </c>
      <c r="E79" s="9" t="s">
        <v>94</v>
      </c>
      <c r="F79" s="6">
        <f t="shared" si="19"/>
        <v>19049.052396878484</v>
      </c>
      <c r="G79" s="6">
        <f t="shared" si="19"/>
        <v>3500</v>
      </c>
      <c r="H79" s="56">
        <v>205044</v>
      </c>
      <c r="I79" s="6">
        <v>37674</v>
      </c>
      <c r="J79" s="56"/>
      <c r="K79" s="37" t="s">
        <v>29</v>
      </c>
      <c r="L79" s="57"/>
      <c r="M79" s="40"/>
      <c r="N79" s="40"/>
      <c r="O79" s="40"/>
      <c r="P79" s="40"/>
      <c r="Q79" s="40"/>
      <c r="R79" s="40"/>
      <c r="S79" s="40"/>
    </row>
    <row r="80" spans="1:19" s="12" customFormat="1" ht="14.1" customHeight="1">
      <c r="A80" s="10">
        <v>4</v>
      </c>
      <c r="B80" s="9" t="s">
        <v>247</v>
      </c>
      <c r="C80" s="155" t="s">
        <v>396</v>
      </c>
      <c r="D80" s="9" t="s">
        <v>395</v>
      </c>
      <c r="E80" s="9" t="s">
        <v>94</v>
      </c>
      <c r="F80" s="6">
        <f t="shared" si="19"/>
        <v>2628.0193236714977</v>
      </c>
      <c r="G80" s="6">
        <f t="shared" si="19"/>
        <v>2628.0193236714977</v>
      </c>
      <c r="H80" s="56">
        <v>28288</v>
      </c>
      <c r="I80" s="6">
        <v>28288</v>
      </c>
      <c r="J80" s="56"/>
      <c r="K80" s="37" t="s">
        <v>38</v>
      </c>
      <c r="L80" s="57"/>
      <c r="M80" s="40"/>
      <c r="N80" s="40"/>
      <c r="O80" s="40"/>
      <c r="P80" s="40"/>
      <c r="Q80" s="40"/>
      <c r="R80" s="40"/>
      <c r="S80" s="40"/>
    </row>
    <row r="81" spans="1:19" s="12" customFormat="1" ht="14.1" customHeight="1">
      <c r="A81" s="10">
        <v>5</v>
      </c>
      <c r="B81" s="9" t="s">
        <v>247</v>
      </c>
      <c r="C81" s="9" t="s">
        <v>397</v>
      </c>
      <c r="D81" s="9" t="s">
        <v>392</v>
      </c>
      <c r="E81" s="9" t="s">
        <v>398</v>
      </c>
      <c r="F81" s="6">
        <f t="shared" si="19"/>
        <v>10752.136752136752</v>
      </c>
      <c r="G81" s="6">
        <f t="shared" si="19"/>
        <v>9947.0457079152729</v>
      </c>
      <c r="H81" s="56">
        <v>115736</v>
      </c>
      <c r="I81" s="6">
        <v>107070</v>
      </c>
      <c r="J81" s="39" t="s">
        <v>399</v>
      </c>
      <c r="K81" s="37" t="s">
        <v>38</v>
      </c>
      <c r="L81" s="57"/>
      <c r="M81" s="40"/>
      <c r="N81" s="40"/>
      <c r="O81" s="40"/>
      <c r="P81" s="40"/>
      <c r="Q81" s="40"/>
      <c r="R81" s="40"/>
      <c r="S81" s="40"/>
    </row>
    <row r="82" spans="1:19" s="12" customFormat="1" ht="14.1" customHeight="1">
      <c r="A82" s="10">
        <v>6</v>
      </c>
      <c r="B82" s="9" t="s">
        <v>247</v>
      </c>
      <c r="C82" s="9" t="s">
        <v>400</v>
      </c>
      <c r="D82" s="9" t="s">
        <v>392</v>
      </c>
      <c r="E82" s="9" t="s">
        <v>398</v>
      </c>
      <c r="F82" s="6">
        <f t="shared" si="19"/>
        <v>12349.869936826459</v>
      </c>
      <c r="G82" s="6">
        <f t="shared" si="19"/>
        <v>9749.9070977331849</v>
      </c>
      <c r="H82" s="56">
        <v>132934</v>
      </c>
      <c r="I82" s="6">
        <v>104948</v>
      </c>
      <c r="J82" s="56"/>
      <c r="K82" s="37" t="s">
        <v>38</v>
      </c>
      <c r="L82" s="40"/>
      <c r="M82" s="40"/>
      <c r="N82" s="40"/>
      <c r="O82" s="40"/>
      <c r="P82" s="40"/>
      <c r="Q82" s="40"/>
      <c r="R82" s="40"/>
      <c r="S82" s="40"/>
    </row>
    <row r="83" spans="1:19" s="12" customFormat="1" ht="14.1" customHeight="1">
      <c r="A83" s="10">
        <v>7</v>
      </c>
      <c r="B83" s="9" t="s">
        <v>247</v>
      </c>
      <c r="C83" s="9" t="s">
        <v>251</v>
      </c>
      <c r="D83" s="9" t="s">
        <v>249</v>
      </c>
      <c r="E83" s="9" t="s">
        <v>250</v>
      </c>
      <c r="F83" s="6">
        <f t="shared" si="19"/>
        <v>8389.0746934225208</v>
      </c>
      <c r="G83" s="6">
        <f t="shared" si="19"/>
        <v>8389.0746934225208</v>
      </c>
      <c r="H83" s="56">
        <v>90300</v>
      </c>
      <c r="I83" s="6">
        <v>90300</v>
      </c>
      <c r="J83" s="56"/>
      <c r="K83" s="37" t="s">
        <v>29</v>
      </c>
      <c r="L83" s="40"/>
      <c r="M83" s="40"/>
      <c r="N83" s="40"/>
      <c r="O83" s="40"/>
      <c r="P83" s="40"/>
      <c r="Q83" s="40"/>
      <c r="R83" s="40"/>
      <c r="S83" s="40"/>
    </row>
    <row r="84" spans="1:19" s="12" customFormat="1" ht="14.1" customHeight="1">
      <c r="A84" s="10">
        <v>8</v>
      </c>
      <c r="B84" s="9" t="s">
        <v>247</v>
      </c>
      <c r="C84" s="9" t="s">
        <v>401</v>
      </c>
      <c r="D84" s="9" t="s">
        <v>249</v>
      </c>
      <c r="E84" s="9" t="s">
        <v>250</v>
      </c>
      <c r="F84" s="6">
        <f t="shared" si="19"/>
        <v>8389.0746934225208</v>
      </c>
      <c r="G84" s="6">
        <f t="shared" si="19"/>
        <v>5592.7164622816799</v>
      </c>
      <c r="H84" s="56">
        <v>90300</v>
      </c>
      <c r="I84" s="6">
        <v>60200</v>
      </c>
      <c r="J84" s="56"/>
      <c r="K84" s="37" t="s">
        <v>29</v>
      </c>
      <c r="L84" s="40"/>
      <c r="M84" s="40"/>
      <c r="N84" s="40"/>
      <c r="O84" s="40"/>
      <c r="P84" s="40"/>
      <c r="Q84" s="40"/>
      <c r="R84" s="40"/>
      <c r="S84" s="40"/>
    </row>
    <row r="85" spans="1:19" s="12" customFormat="1" ht="14.1" customHeight="1">
      <c r="A85" s="10">
        <v>9</v>
      </c>
      <c r="B85" s="9" t="s">
        <v>247</v>
      </c>
      <c r="C85" s="9" t="s">
        <v>402</v>
      </c>
      <c r="D85" s="9" t="s">
        <v>249</v>
      </c>
      <c r="E85" s="9" t="s">
        <v>274</v>
      </c>
      <c r="F85" s="6">
        <f t="shared" si="19"/>
        <v>16257.896692679302</v>
      </c>
      <c r="G85" s="6">
        <f t="shared" si="19"/>
        <v>7432.1813452248243</v>
      </c>
      <c r="H85" s="56">
        <v>175000</v>
      </c>
      <c r="I85" s="6">
        <v>80000</v>
      </c>
      <c r="J85" s="56"/>
      <c r="K85" s="37" t="s">
        <v>29</v>
      </c>
      <c r="L85" s="40"/>
      <c r="M85" s="40"/>
      <c r="N85" s="40"/>
      <c r="O85" s="40"/>
      <c r="P85" s="40"/>
      <c r="Q85" s="40"/>
      <c r="R85" s="40"/>
      <c r="S85" s="40"/>
    </row>
    <row r="86" spans="1:19" s="12" customFormat="1" ht="14.1" customHeight="1">
      <c r="A86" s="10">
        <v>10</v>
      </c>
      <c r="B86" s="9" t="s">
        <v>247</v>
      </c>
      <c r="C86" s="9" t="s">
        <v>403</v>
      </c>
      <c r="D86" s="9" t="s">
        <v>404</v>
      </c>
      <c r="E86" s="9" t="s">
        <v>54</v>
      </c>
      <c r="F86" s="6">
        <f t="shared" si="19"/>
        <v>9923.0769230769238</v>
      </c>
      <c r="G86" s="6">
        <f t="shared" si="19"/>
        <v>9923.0769230769238</v>
      </c>
      <c r="H86" s="56">
        <v>106812</v>
      </c>
      <c r="I86" s="6">
        <v>106812</v>
      </c>
      <c r="J86" s="39"/>
      <c r="K86" s="37" t="s">
        <v>29</v>
      </c>
      <c r="L86" s="40"/>
      <c r="M86" s="40"/>
      <c r="N86" s="40"/>
      <c r="O86" s="40"/>
      <c r="P86" s="40"/>
      <c r="Q86" s="40"/>
      <c r="R86" s="40"/>
      <c r="S86" s="40"/>
    </row>
    <row r="87" spans="1:19" s="12" customFormat="1" ht="14.1" customHeight="1">
      <c r="A87" s="10">
        <v>11</v>
      </c>
      <c r="B87" s="9" t="s">
        <v>247</v>
      </c>
      <c r="C87" s="9" t="s">
        <v>66</v>
      </c>
      <c r="D87" s="9" t="s">
        <v>404</v>
      </c>
      <c r="E87" s="9" t="s">
        <v>179</v>
      </c>
      <c r="F87" s="6">
        <f t="shared" si="19"/>
        <v>8301.7465626161284</v>
      </c>
      <c r="G87" s="6">
        <f t="shared" si="19"/>
        <v>8301.7465626161284</v>
      </c>
      <c r="H87" s="56">
        <v>89360</v>
      </c>
      <c r="I87" s="6">
        <v>89360</v>
      </c>
      <c r="J87" s="39"/>
      <c r="K87" s="37" t="s">
        <v>29</v>
      </c>
      <c r="L87" s="40"/>
      <c r="M87" s="40"/>
      <c r="N87" s="40"/>
      <c r="O87" s="40"/>
      <c r="P87" s="40"/>
      <c r="Q87" s="40"/>
      <c r="R87" s="40"/>
      <c r="S87" s="40"/>
    </row>
    <row r="88" spans="1:19" s="12" customFormat="1" ht="14.1" customHeight="1">
      <c r="A88" s="10">
        <v>12</v>
      </c>
      <c r="B88" s="9" t="s">
        <v>247</v>
      </c>
      <c r="C88" s="9" t="s">
        <v>168</v>
      </c>
      <c r="D88" s="9" t="s">
        <v>405</v>
      </c>
      <c r="E88" s="9" t="s">
        <v>167</v>
      </c>
      <c r="F88" s="6">
        <f t="shared" si="19"/>
        <v>4882.1999256781864</v>
      </c>
      <c r="G88" s="6">
        <f t="shared" si="19"/>
        <v>4882.1999256781864</v>
      </c>
      <c r="H88" s="56">
        <v>52552</v>
      </c>
      <c r="I88" s="6">
        <v>52552</v>
      </c>
      <c r="J88" s="39"/>
      <c r="K88" s="37" t="s">
        <v>29</v>
      </c>
      <c r="L88" s="40"/>
      <c r="M88" s="40"/>
      <c r="N88" s="40"/>
      <c r="O88" s="40"/>
      <c r="P88" s="40"/>
      <c r="Q88" s="40"/>
      <c r="R88" s="40"/>
      <c r="S88" s="40"/>
    </row>
    <row r="89" spans="1:19" s="12" customFormat="1" ht="14.1" customHeight="1">
      <c r="A89" s="10"/>
      <c r="B89" s="255" t="s">
        <v>304</v>
      </c>
      <c r="C89" s="256"/>
      <c r="D89" s="256"/>
      <c r="E89" s="256"/>
      <c r="F89" s="256"/>
      <c r="G89" s="256"/>
      <c r="H89" s="257"/>
      <c r="I89" s="47">
        <f>SUM(I77:I88)</f>
        <v>871039</v>
      </c>
      <c r="J89" s="47"/>
      <c r="K89" s="10"/>
      <c r="L89" s="40"/>
      <c r="M89" s="40"/>
      <c r="N89" s="40"/>
      <c r="O89" s="40"/>
      <c r="P89" s="40"/>
      <c r="Q89" s="40"/>
      <c r="R89" s="40"/>
      <c r="S89" s="40"/>
    </row>
    <row r="90" spans="1:19" s="1" customFormat="1" ht="14.1" customHeight="1">
      <c r="A90" s="32"/>
      <c r="B90" s="253" t="s">
        <v>262</v>
      </c>
      <c r="C90" s="254"/>
      <c r="D90" s="254"/>
      <c r="E90" s="254"/>
      <c r="F90" s="254"/>
      <c r="G90" s="254"/>
      <c r="H90" s="254"/>
      <c r="I90" s="254"/>
      <c r="J90" s="33"/>
      <c r="K90" s="52"/>
      <c r="L90" s="21"/>
      <c r="M90" s="21"/>
      <c r="N90" s="21"/>
      <c r="O90" s="21"/>
      <c r="P90" s="21"/>
      <c r="Q90" s="21"/>
      <c r="R90" s="21"/>
      <c r="S90" s="21"/>
    </row>
    <row r="91" spans="1:19" s="12" customFormat="1" ht="14.25">
      <c r="A91" s="10">
        <v>1</v>
      </c>
      <c r="B91" s="9" t="s">
        <v>263</v>
      </c>
      <c r="C91" s="5" t="s">
        <v>406</v>
      </c>
      <c r="D91" s="5" t="s">
        <v>407</v>
      </c>
      <c r="E91" s="5" t="s">
        <v>408</v>
      </c>
      <c r="F91" s="6">
        <f>H91/10.764</f>
        <v>5000</v>
      </c>
      <c r="G91" s="6">
        <f>I91/10.764</f>
        <v>5000</v>
      </c>
      <c r="H91" s="6">
        <v>53820</v>
      </c>
      <c r="I91" s="6">
        <v>53820</v>
      </c>
      <c r="J91" s="6"/>
      <c r="K91" s="37" t="s">
        <v>29</v>
      </c>
      <c r="L91" s="18"/>
      <c r="M91" s="18"/>
      <c r="N91" s="18"/>
      <c r="O91" s="18"/>
      <c r="P91" s="40"/>
      <c r="Q91" s="40"/>
      <c r="R91" s="40"/>
      <c r="S91" s="40"/>
    </row>
    <row r="92" spans="1:19" s="12" customFormat="1" ht="14.1" customHeight="1">
      <c r="A92" s="10">
        <v>2</v>
      </c>
      <c r="B92" s="9" t="s">
        <v>263</v>
      </c>
      <c r="C92" s="9" t="s">
        <v>66</v>
      </c>
      <c r="D92" s="9" t="s">
        <v>409</v>
      </c>
      <c r="E92" s="9" t="s">
        <v>410</v>
      </c>
      <c r="F92" s="6">
        <f t="shared" ref="F92:G93" si="20">H92/10.764</f>
        <v>4000.0000000000005</v>
      </c>
      <c r="G92" s="6">
        <f t="shared" si="20"/>
        <v>1000.0000000000001</v>
      </c>
      <c r="H92" s="6">
        <v>43056</v>
      </c>
      <c r="I92" s="6">
        <v>10764</v>
      </c>
      <c r="J92" s="6"/>
      <c r="K92" s="37" t="s">
        <v>38</v>
      </c>
      <c r="L92" s="18"/>
      <c r="M92" s="18"/>
      <c r="N92" s="18"/>
      <c r="O92" s="18"/>
    </row>
    <row r="93" spans="1:19" s="12" customFormat="1" ht="14.1" customHeight="1">
      <c r="A93" s="10">
        <v>3</v>
      </c>
      <c r="B93" s="9" t="s">
        <v>263</v>
      </c>
      <c r="C93" s="9" t="s">
        <v>35</v>
      </c>
      <c r="D93" s="9" t="s">
        <v>411</v>
      </c>
      <c r="E93" s="9" t="s">
        <v>412</v>
      </c>
      <c r="F93" s="6">
        <f t="shared" si="20"/>
        <v>2787.0680044593091</v>
      </c>
      <c r="G93" s="6">
        <f t="shared" si="20"/>
        <v>2787.0680044593091</v>
      </c>
      <c r="H93" s="6">
        <v>30000</v>
      </c>
      <c r="I93" s="6">
        <v>30000</v>
      </c>
      <c r="J93" s="6"/>
      <c r="K93" s="37" t="s">
        <v>38</v>
      </c>
      <c r="L93" s="18"/>
      <c r="M93" s="18"/>
      <c r="N93" s="18"/>
      <c r="O93" s="18"/>
    </row>
    <row r="94" spans="1:19" s="12" customFormat="1" ht="14.1" customHeight="1">
      <c r="A94" s="10">
        <v>4</v>
      </c>
      <c r="B94" s="9" t="s">
        <v>263</v>
      </c>
      <c r="C94" s="9" t="s">
        <v>171</v>
      </c>
      <c r="D94" s="9" t="s">
        <v>413</v>
      </c>
      <c r="E94" s="9" t="s">
        <v>167</v>
      </c>
      <c r="F94" s="6">
        <f>H94/10.764</f>
        <v>4322.8353771832035</v>
      </c>
      <c r="G94" s="6">
        <f>I94/10.764</f>
        <v>4322.8353771832035</v>
      </c>
      <c r="H94" s="6">
        <v>46531</v>
      </c>
      <c r="I94" s="6">
        <v>46531</v>
      </c>
      <c r="J94" s="6"/>
      <c r="K94" s="37" t="s">
        <v>29</v>
      </c>
      <c r="L94" s="18"/>
      <c r="M94" s="18"/>
      <c r="N94" s="18"/>
      <c r="O94" s="18"/>
    </row>
    <row r="95" spans="1:19" s="12" customFormat="1" ht="14.1" customHeight="1">
      <c r="A95" s="10"/>
      <c r="B95" s="255" t="s">
        <v>304</v>
      </c>
      <c r="C95" s="256"/>
      <c r="D95" s="256"/>
      <c r="E95" s="256"/>
      <c r="F95" s="256"/>
      <c r="G95" s="256"/>
      <c r="H95" s="257"/>
      <c r="I95" s="53">
        <f>SUM(I91:I94)</f>
        <v>141115</v>
      </c>
      <c r="J95" s="53"/>
      <c r="K95" s="59"/>
      <c r="L95" s="57"/>
      <c r="M95" s="40"/>
      <c r="N95" s="40"/>
      <c r="O95" s="40"/>
      <c r="P95" s="40"/>
      <c r="Q95" s="40"/>
      <c r="R95" s="40"/>
      <c r="S95" s="40"/>
    </row>
    <row r="96" spans="1:19" s="1" customFormat="1" ht="14.1" customHeight="1">
      <c r="A96" s="32"/>
      <c r="B96" s="253" t="s">
        <v>253</v>
      </c>
      <c r="C96" s="254"/>
      <c r="D96" s="254"/>
      <c r="E96" s="254"/>
      <c r="F96" s="254"/>
      <c r="G96" s="254"/>
      <c r="H96" s="254"/>
      <c r="I96" s="254"/>
      <c r="J96" s="33"/>
      <c r="K96" s="52"/>
      <c r="L96" s="21"/>
      <c r="M96" s="21"/>
      <c r="N96" s="21"/>
      <c r="O96" s="21"/>
      <c r="P96" s="21"/>
      <c r="Q96" s="21"/>
      <c r="R96" s="21"/>
      <c r="S96" s="21"/>
    </row>
    <row r="97" spans="1:19" s="12" customFormat="1" ht="14.25">
      <c r="A97" s="10">
        <v>1</v>
      </c>
      <c r="B97" s="9" t="s">
        <v>254</v>
      </c>
      <c r="C97" s="5" t="s">
        <v>232</v>
      </c>
      <c r="D97" s="5" t="s">
        <v>414</v>
      </c>
      <c r="E97" s="5" t="s">
        <v>415</v>
      </c>
      <c r="F97" s="6">
        <f t="shared" ref="F97:G99" si="21">H97/10.764</f>
        <v>5849.9628390932739</v>
      </c>
      <c r="G97" s="6">
        <f t="shared" si="21"/>
        <v>5849.9628390932739</v>
      </c>
      <c r="H97" s="6">
        <v>62969</v>
      </c>
      <c r="I97" s="6">
        <v>62969</v>
      </c>
      <c r="J97" s="6"/>
      <c r="K97" s="37" t="s">
        <v>38</v>
      </c>
      <c r="L97" s="18"/>
      <c r="M97" s="18"/>
      <c r="N97" s="18"/>
      <c r="O97" s="18"/>
      <c r="P97" s="40"/>
      <c r="Q97" s="40"/>
      <c r="R97" s="40"/>
      <c r="S97" s="40"/>
    </row>
    <row r="98" spans="1:19" s="12" customFormat="1" ht="14.25">
      <c r="A98" s="10">
        <v>2</v>
      </c>
      <c r="B98" s="9" t="s">
        <v>254</v>
      </c>
      <c r="C98" s="5" t="s">
        <v>368</v>
      </c>
      <c r="D98" s="5" t="s">
        <v>414</v>
      </c>
      <c r="E98" s="5" t="s">
        <v>415</v>
      </c>
      <c r="F98" s="6">
        <f t="shared" si="21"/>
        <v>7920.0111482720185</v>
      </c>
      <c r="G98" s="6">
        <f t="shared" si="21"/>
        <v>7920.0111482720185</v>
      </c>
      <c r="H98" s="6">
        <v>85251</v>
      </c>
      <c r="I98" s="6">
        <v>85251</v>
      </c>
      <c r="J98" s="6"/>
      <c r="K98" s="37" t="s">
        <v>38</v>
      </c>
      <c r="L98" s="18"/>
      <c r="M98" s="18"/>
      <c r="N98" s="18"/>
      <c r="O98" s="18"/>
      <c r="P98" s="40"/>
      <c r="Q98" s="40"/>
      <c r="R98" s="40"/>
      <c r="S98" s="40"/>
    </row>
    <row r="99" spans="1:19" s="12" customFormat="1" ht="14.25">
      <c r="A99" s="10">
        <v>3</v>
      </c>
      <c r="B99" s="9" t="s">
        <v>254</v>
      </c>
      <c r="C99" s="5" t="s">
        <v>168</v>
      </c>
      <c r="D99" s="5" t="s">
        <v>256</v>
      </c>
      <c r="E99" s="5" t="s">
        <v>167</v>
      </c>
      <c r="F99" s="6">
        <f t="shared" si="21"/>
        <v>4759.6618357487923</v>
      </c>
      <c r="G99" s="6">
        <f t="shared" si="21"/>
        <v>4759.6618357487923</v>
      </c>
      <c r="H99" s="6">
        <v>51233</v>
      </c>
      <c r="I99" s="6">
        <v>51233</v>
      </c>
      <c r="J99" s="6"/>
      <c r="K99" s="37" t="s">
        <v>29</v>
      </c>
      <c r="L99" s="18"/>
      <c r="M99" s="18"/>
      <c r="N99" s="18"/>
      <c r="O99" s="18"/>
      <c r="P99" s="40"/>
      <c r="Q99" s="40"/>
      <c r="R99" s="40"/>
      <c r="S99" s="40"/>
    </row>
    <row r="100" spans="1:19" s="12" customFormat="1" ht="14.1" customHeight="1">
      <c r="A100" s="10"/>
      <c r="B100" s="255" t="s">
        <v>304</v>
      </c>
      <c r="C100" s="256"/>
      <c r="D100" s="256"/>
      <c r="E100" s="256"/>
      <c r="F100" s="256"/>
      <c r="G100" s="256"/>
      <c r="H100" s="257"/>
      <c r="I100" s="53">
        <f>SUM(I97:I99)</f>
        <v>199453</v>
      </c>
      <c r="J100" s="53"/>
      <c r="K100" s="59"/>
      <c r="L100" s="57"/>
      <c r="M100" s="40"/>
      <c r="N100" s="40"/>
      <c r="O100" s="40"/>
      <c r="P100" s="40"/>
      <c r="Q100" s="40"/>
      <c r="R100" s="40"/>
      <c r="S100" s="40"/>
    </row>
    <row r="101" spans="1:19" s="1" customFormat="1" ht="14.1" customHeight="1">
      <c r="A101" s="60"/>
      <c r="B101" s="258" t="s">
        <v>304</v>
      </c>
      <c r="C101" s="259"/>
      <c r="D101" s="259"/>
      <c r="E101" s="259"/>
      <c r="F101" s="259"/>
      <c r="G101" s="259"/>
      <c r="H101" s="259"/>
      <c r="I101" s="61">
        <f>I41+I53+I59+I68+I71+I75+I89+I95+I100</f>
        <v>7287239</v>
      </c>
      <c r="J101" s="62"/>
      <c r="K101" s="63"/>
      <c r="L101" s="55"/>
      <c r="M101" s="21"/>
      <c r="N101" s="21"/>
      <c r="O101" s="21"/>
      <c r="P101" s="21"/>
      <c r="Q101" s="21"/>
      <c r="R101" s="21"/>
      <c r="S101" s="21"/>
    </row>
    <row r="104" spans="1:19">
      <c r="F104" s="92"/>
    </row>
  </sheetData>
  <autoFilter ref="A4:K101" xr:uid="{DD732235-2344-470F-BB16-21B3C774F5FE}"/>
  <mergeCells count="21">
    <mergeCell ref="B71:H71"/>
    <mergeCell ref="A1:K1"/>
    <mergeCell ref="A2:K2"/>
    <mergeCell ref="B5:I5"/>
    <mergeCell ref="B41:H41"/>
    <mergeCell ref="B42:I42"/>
    <mergeCell ref="B53:H53"/>
    <mergeCell ref="B54:I54"/>
    <mergeCell ref="B59:H59"/>
    <mergeCell ref="B60:I60"/>
    <mergeCell ref="B68:H68"/>
    <mergeCell ref="B69:I69"/>
    <mergeCell ref="B96:I96"/>
    <mergeCell ref="B100:H100"/>
    <mergeCell ref="B101:H101"/>
    <mergeCell ref="B72:I72"/>
    <mergeCell ref="B75:H75"/>
    <mergeCell ref="B76:I76"/>
    <mergeCell ref="B89:H89"/>
    <mergeCell ref="B90:I90"/>
    <mergeCell ref="B95:H95"/>
  </mergeCells>
  <pageMargins left="0.70866141732283472" right="0.70866141732283472" top="0.74803149606299213" bottom="0.74803149606299213" header="0.31496062992125984" footer="0.31496062992125984"/>
  <pageSetup paperSize="17" scale="8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zoomScaleNormal="100" workbookViewId="0">
      <selection activeCell="C8" sqref="C8"/>
    </sheetView>
  </sheetViews>
  <sheetFormatPr defaultColWidth="11.42578125" defaultRowHeight="15"/>
  <cols>
    <col min="1" max="1" width="2.7109375" customWidth="1"/>
    <col min="2" max="2" width="17.42578125" customWidth="1"/>
    <col min="3" max="3" width="20.42578125" customWidth="1"/>
    <col min="4" max="4" width="37" customWidth="1"/>
    <col min="5" max="5" width="22.42578125" customWidth="1"/>
    <col min="6" max="6" width="11.42578125" customWidth="1"/>
    <col min="7" max="7" width="13.7109375" customWidth="1"/>
    <col min="8" max="8" width="26.140625" customWidth="1"/>
    <col min="9" max="9" width="12.5703125" customWidth="1"/>
  </cols>
  <sheetData>
    <row r="1" spans="1:9" s="1" customFormat="1" ht="22.5">
      <c r="A1" s="64"/>
      <c r="B1" s="274" t="s">
        <v>0</v>
      </c>
      <c r="C1" s="274"/>
      <c r="D1" s="274"/>
      <c r="E1" s="274"/>
      <c r="F1" s="274"/>
      <c r="G1" s="274"/>
      <c r="H1" s="274"/>
      <c r="I1" s="274"/>
    </row>
    <row r="2" spans="1:9" s="1" customFormat="1">
      <c r="A2" s="24"/>
      <c r="B2" s="275" t="s">
        <v>416</v>
      </c>
      <c r="C2" s="275"/>
      <c r="D2" s="275"/>
      <c r="E2" s="275"/>
      <c r="F2" s="275"/>
      <c r="G2" s="275"/>
      <c r="H2" s="275"/>
      <c r="I2" s="275"/>
    </row>
    <row r="3" spans="1:9" s="24" customFormat="1" ht="15" customHeight="1"/>
    <row r="4" spans="1:9" s="1" customFormat="1">
      <c r="A4" s="65"/>
      <c r="B4" s="29" t="s">
        <v>2</v>
      </c>
      <c r="C4" s="29" t="s">
        <v>306</v>
      </c>
      <c r="D4" s="29" t="s">
        <v>307</v>
      </c>
      <c r="E4" s="29" t="s">
        <v>5</v>
      </c>
      <c r="F4" s="29" t="s">
        <v>6</v>
      </c>
      <c r="G4" s="29" t="s">
        <v>7</v>
      </c>
      <c r="H4" s="29" t="s">
        <v>13</v>
      </c>
      <c r="I4" s="30" t="s">
        <v>417</v>
      </c>
    </row>
    <row r="5" spans="1:9" s="1" customFormat="1" ht="20.25">
      <c r="A5" s="32"/>
      <c r="B5" s="266" t="s">
        <v>17</v>
      </c>
      <c r="C5" s="266"/>
      <c r="D5" s="266"/>
      <c r="E5" s="266"/>
      <c r="F5" s="266"/>
      <c r="G5" s="266"/>
      <c r="H5" s="266"/>
      <c r="I5" s="266"/>
    </row>
    <row r="6" spans="1:9" s="12" customFormat="1" ht="14.25">
      <c r="A6" s="140">
        <v>1</v>
      </c>
      <c r="B6" s="141" t="s">
        <v>18</v>
      </c>
      <c r="C6" s="141" t="s">
        <v>418</v>
      </c>
      <c r="D6" s="141" t="s">
        <v>30</v>
      </c>
      <c r="E6" s="142" t="s">
        <v>21</v>
      </c>
      <c r="F6" s="143">
        <f t="shared" ref="F6:F8" si="0">G6/10.764</f>
        <v>14864.362690449649</v>
      </c>
      <c r="G6" s="143">
        <v>160000</v>
      </c>
      <c r="H6" s="144" t="s">
        <v>419</v>
      </c>
      <c r="I6" s="145" t="s">
        <v>420</v>
      </c>
    </row>
    <row r="7" spans="1:9" s="12" customFormat="1" ht="14.25">
      <c r="A7" s="140">
        <v>2</v>
      </c>
      <c r="B7" s="141" t="s">
        <v>18</v>
      </c>
      <c r="C7" s="141" t="s">
        <v>421</v>
      </c>
      <c r="D7" s="141" t="s">
        <v>319</v>
      </c>
      <c r="E7" s="142" t="s">
        <v>317</v>
      </c>
      <c r="F7" s="143">
        <f t="shared" si="0"/>
        <v>9290.2266815310304</v>
      </c>
      <c r="G7" s="143">
        <v>100000</v>
      </c>
      <c r="H7" s="144"/>
      <c r="I7" s="145" t="s">
        <v>422</v>
      </c>
    </row>
    <row r="8" spans="1:9" s="12" customFormat="1" ht="14.25">
      <c r="A8" s="140">
        <v>3</v>
      </c>
      <c r="B8" s="141" t="s">
        <v>18</v>
      </c>
      <c r="C8" s="141" t="s">
        <v>423</v>
      </c>
      <c r="D8" s="141" t="s">
        <v>424</v>
      </c>
      <c r="E8" s="142" t="s">
        <v>425</v>
      </c>
      <c r="F8" s="143">
        <f t="shared" si="0"/>
        <v>12275.17651430695</v>
      </c>
      <c r="G8" s="143">
        <v>132130</v>
      </c>
      <c r="H8" s="144"/>
      <c r="I8" s="145" t="s">
        <v>422</v>
      </c>
    </row>
    <row r="9" spans="1:9" s="12" customFormat="1" ht="14.25">
      <c r="A9" s="140">
        <v>4</v>
      </c>
      <c r="B9" s="141" t="s">
        <v>18</v>
      </c>
      <c r="C9" s="141" t="s">
        <v>426</v>
      </c>
      <c r="D9" s="141" t="s">
        <v>83</v>
      </c>
      <c r="E9" s="142" t="s">
        <v>84</v>
      </c>
      <c r="F9" s="143">
        <f>G9/10.764</f>
        <v>11342.437755481234</v>
      </c>
      <c r="G9" s="143">
        <v>122090</v>
      </c>
      <c r="H9" s="144"/>
      <c r="I9" s="145" t="s">
        <v>427</v>
      </c>
    </row>
    <row r="10" spans="1:9" s="12" customFormat="1" ht="14.25">
      <c r="A10" s="140">
        <v>5</v>
      </c>
      <c r="B10" s="141" t="s">
        <v>18</v>
      </c>
      <c r="C10" s="141" t="s">
        <v>423</v>
      </c>
      <c r="D10" s="141" t="s">
        <v>122</v>
      </c>
      <c r="E10" s="142" t="s">
        <v>428</v>
      </c>
      <c r="F10" s="143">
        <f>G10/10.764</f>
        <v>23000</v>
      </c>
      <c r="G10" s="143">
        <v>247572</v>
      </c>
      <c r="H10" s="144"/>
      <c r="I10" s="145" t="s">
        <v>422</v>
      </c>
    </row>
    <row r="11" spans="1:9" s="12" customFormat="1" ht="14.25" customHeight="1">
      <c r="A11" s="2"/>
      <c r="B11" s="271" t="s">
        <v>304</v>
      </c>
      <c r="C11" s="272"/>
      <c r="D11" s="272"/>
      <c r="E11" s="273"/>
      <c r="F11" s="69">
        <f>SUM(F6:F10)</f>
        <v>70772.203641768865</v>
      </c>
      <c r="G11" s="70">
        <f>SUM(G6:G10)</f>
        <v>761792</v>
      </c>
      <c r="H11" s="97"/>
      <c r="I11" s="71"/>
    </row>
    <row r="12" spans="1:9" s="1" customFormat="1" ht="14.25" customHeight="1">
      <c r="A12" s="32"/>
      <c r="B12" s="266" t="s">
        <v>262</v>
      </c>
      <c r="C12" s="266"/>
      <c r="D12" s="266"/>
      <c r="E12" s="266"/>
      <c r="F12" s="266"/>
      <c r="G12" s="266"/>
      <c r="H12" s="266"/>
      <c r="I12" s="266"/>
    </row>
    <row r="13" spans="1:9" s="12" customFormat="1" ht="14.25" customHeight="1">
      <c r="A13" s="10">
        <v>1</v>
      </c>
      <c r="B13" s="9" t="s">
        <v>263</v>
      </c>
      <c r="C13" s="9" t="s">
        <v>374</v>
      </c>
      <c r="D13" s="9" t="s">
        <v>282</v>
      </c>
      <c r="E13" s="19" t="s">
        <v>274</v>
      </c>
      <c r="F13" s="58">
        <f>G13/10.764</f>
        <v>12541.80602006689</v>
      </c>
      <c r="G13" s="94">
        <v>135000</v>
      </c>
      <c r="H13" s="95"/>
      <c r="I13" s="139" t="s">
        <v>420</v>
      </c>
    </row>
    <row r="14" spans="1:9" s="72" customFormat="1" ht="14.25">
      <c r="A14" s="14"/>
      <c r="B14" s="271" t="s">
        <v>304</v>
      </c>
      <c r="C14" s="272"/>
      <c r="D14" s="272"/>
      <c r="E14" s="273"/>
      <c r="F14" s="69">
        <f>SUM(F13:F13)</f>
        <v>12541.80602006689</v>
      </c>
      <c r="G14" s="70">
        <f>SUM(G13:G13)</f>
        <v>135000</v>
      </c>
      <c r="H14" s="70"/>
      <c r="I14" s="71"/>
    </row>
    <row r="15" spans="1:9" s="1" customFormat="1" ht="20.25">
      <c r="A15" s="32"/>
      <c r="B15" s="266" t="s">
        <v>172</v>
      </c>
      <c r="C15" s="266"/>
      <c r="D15" s="266"/>
      <c r="E15" s="266"/>
      <c r="F15" s="266"/>
      <c r="G15" s="266"/>
      <c r="H15" s="266"/>
      <c r="I15" s="266"/>
    </row>
    <row r="16" spans="1:9" s="1" customFormat="1">
      <c r="A16" s="10">
        <v>1</v>
      </c>
      <c r="B16" s="9"/>
      <c r="C16" s="9"/>
      <c r="D16" s="9"/>
      <c r="E16" s="10"/>
      <c r="F16" s="6"/>
      <c r="G16" s="6"/>
      <c r="H16" s="6"/>
      <c r="I16" s="43"/>
    </row>
    <row r="17" spans="1:9" s="12" customFormat="1" ht="14.25">
      <c r="A17" s="10"/>
      <c r="B17" s="267" t="s">
        <v>304</v>
      </c>
      <c r="C17" s="267"/>
      <c r="D17" s="267"/>
      <c r="E17" s="267"/>
      <c r="F17" s="69">
        <f>SUM(F16:F16)</f>
        <v>0</v>
      </c>
      <c r="G17" s="47">
        <f>SUM(G16:G16)</f>
        <v>0</v>
      </c>
      <c r="H17" s="47"/>
      <c r="I17" s="68"/>
    </row>
    <row r="18" spans="1:9" s="1" customFormat="1" ht="20.25">
      <c r="A18" s="32"/>
      <c r="B18" s="266" t="s">
        <v>296</v>
      </c>
      <c r="C18" s="266"/>
      <c r="D18" s="266"/>
      <c r="E18" s="266"/>
      <c r="F18" s="266"/>
      <c r="G18" s="266"/>
      <c r="H18" s="266"/>
      <c r="I18" s="266"/>
    </row>
    <row r="19" spans="1:9" s="12" customFormat="1" ht="14.25">
      <c r="A19" s="10">
        <v>1</v>
      </c>
      <c r="B19" s="9" t="s">
        <v>297</v>
      </c>
      <c r="C19" s="9" t="s">
        <v>429</v>
      </c>
      <c r="D19" s="9" t="s">
        <v>299</v>
      </c>
      <c r="E19" s="10" t="s">
        <v>300</v>
      </c>
      <c r="F19" s="6">
        <f>G19/10.764</f>
        <v>9624.6748420661479</v>
      </c>
      <c r="G19" s="6">
        <v>103600</v>
      </c>
      <c r="H19" s="6"/>
      <c r="I19" s="68" t="s">
        <v>420</v>
      </c>
    </row>
    <row r="20" spans="1:9" s="12" customFormat="1" ht="14.25">
      <c r="A20" s="10"/>
      <c r="B20" s="263" t="s">
        <v>304</v>
      </c>
      <c r="C20" s="264"/>
      <c r="D20" s="264"/>
      <c r="E20" s="265"/>
      <c r="F20" s="66">
        <f>SUM(F19)</f>
        <v>9624.6748420661479</v>
      </c>
      <c r="G20" s="66">
        <f>SUM(G19:G19)</f>
        <v>103600</v>
      </c>
      <c r="H20" s="66"/>
      <c r="I20" s="68"/>
    </row>
    <row r="21" spans="1:9" s="1" customFormat="1" ht="20.25">
      <c r="A21" s="32"/>
      <c r="B21" s="266" t="s">
        <v>253</v>
      </c>
      <c r="C21" s="276"/>
      <c r="D21" s="266"/>
      <c r="E21" s="266"/>
      <c r="F21" s="266"/>
      <c r="G21" s="266"/>
      <c r="H21" s="266"/>
      <c r="I21" s="266"/>
    </row>
    <row r="22" spans="1:9" s="12" customFormat="1" ht="12.75" customHeight="1">
      <c r="A22" s="10">
        <v>1</v>
      </c>
      <c r="B22" s="73"/>
      <c r="C22" s="171"/>
      <c r="D22" s="74"/>
      <c r="E22" s="75"/>
      <c r="F22" s="76"/>
      <c r="G22" s="77"/>
      <c r="H22" s="77"/>
      <c r="I22" s="78"/>
    </row>
    <row r="23" spans="1:9" s="12" customFormat="1" ht="14.25">
      <c r="A23" s="10"/>
      <c r="B23" s="268" t="s">
        <v>304</v>
      </c>
      <c r="C23" s="269"/>
      <c r="D23" s="269"/>
      <c r="E23" s="270"/>
      <c r="F23" s="79">
        <f>SUM(F22:F22)</f>
        <v>0</v>
      </c>
      <c r="G23" s="66">
        <f>SUM(G22:G22)</f>
        <v>0</v>
      </c>
      <c r="H23" s="66"/>
      <c r="I23" s="68"/>
    </row>
    <row r="24" spans="1:9" s="1" customFormat="1" ht="20.25">
      <c r="A24" s="32"/>
      <c r="B24" s="266" t="s">
        <v>185</v>
      </c>
      <c r="C24" s="266"/>
      <c r="D24" s="266"/>
      <c r="E24" s="266"/>
      <c r="F24" s="266"/>
      <c r="G24" s="266"/>
      <c r="H24" s="266"/>
      <c r="I24" s="266"/>
    </row>
    <row r="25" spans="1:9" s="12" customFormat="1" ht="14.25">
      <c r="A25" s="10">
        <v>1</v>
      </c>
      <c r="B25" s="9"/>
      <c r="C25" s="9"/>
      <c r="D25" s="9"/>
      <c r="E25" s="10"/>
      <c r="F25" s="6"/>
      <c r="G25" s="41"/>
      <c r="H25" s="41"/>
      <c r="I25" s="43"/>
    </row>
    <row r="26" spans="1:9" s="12" customFormat="1" ht="14.25">
      <c r="A26" s="10"/>
      <c r="B26" s="267" t="s">
        <v>304</v>
      </c>
      <c r="C26" s="267"/>
      <c r="D26" s="267"/>
      <c r="E26" s="267"/>
      <c r="F26" s="66">
        <f>SUM(F25:F25)</f>
        <v>0</v>
      </c>
      <c r="G26" s="47">
        <f>SUM(G25:G25)</f>
        <v>0</v>
      </c>
      <c r="H26" s="47"/>
      <c r="I26" s="68"/>
    </row>
    <row r="27" spans="1:9" s="1" customFormat="1" ht="20.25">
      <c r="A27" s="32"/>
      <c r="B27" s="266" t="s">
        <v>188</v>
      </c>
      <c r="C27" s="266"/>
      <c r="D27" s="266"/>
      <c r="E27" s="266"/>
      <c r="F27" s="266"/>
      <c r="G27" s="266"/>
      <c r="H27" s="266"/>
      <c r="I27" s="266"/>
    </row>
    <row r="28" spans="1:9" s="1" customFormat="1">
      <c r="A28" s="10"/>
      <c r="B28" s="9"/>
      <c r="C28" s="9"/>
      <c r="D28" s="9"/>
      <c r="E28" s="10"/>
      <c r="F28" s="6"/>
      <c r="G28" s="6"/>
      <c r="H28" s="80"/>
      <c r="I28" s="78"/>
    </row>
    <row r="29" spans="1:9" s="12" customFormat="1" ht="14.25">
      <c r="A29" s="10"/>
      <c r="B29" s="267" t="s">
        <v>304</v>
      </c>
      <c r="C29" s="267"/>
      <c r="D29" s="267"/>
      <c r="E29" s="267"/>
      <c r="F29" s="47">
        <f>SUM(F28:F28)</f>
        <v>0</v>
      </c>
      <c r="G29" s="47">
        <f>SUM(G28:G28)</f>
        <v>0</v>
      </c>
      <c r="H29" s="47"/>
      <c r="I29" s="68"/>
    </row>
    <row r="30" spans="1:9" s="1" customFormat="1" ht="20.25">
      <c r="A30" s="32"/>
      <c r="B30" s="266" t="s">
        <v>246</v>
      </c>
      <c r="C30" s="266"/>
      <c r="D30" s="266"/>
      <c r="E30" s="266"/>
      <c r="F30" s="266"/>
      <c r="G30" s="266"/>
      <c r="H30" s="266"/>
      <c r="I30" s="266"/>
    </row>
    <row r="31" spans="1:9" s="12" customFormat="1" ht="14.25">
      <c r="A31" s="10">
        <v>1</v>
      </c>
      <c r="B31" s="9" t="s">
        <v>247</v>
      </c>
      <c r="C31" s="9" t="s">
        <v>430</v>
      </c>
      <c r="D31" s="9" t="s">
        <v>431</v>
      </c>
      <c r="E31" s="10" t="s">
        <v>339</v>
      </c>
      <c r="F31" s="6">
        <f>G31/10.764</f>
        <v>13935.340022296545</v>
      </c>
      <c r="G31" s="6">
        <v>150000</v>
      </c>
      <c r="H31" s="99"/>
      <c r="I31" s="43" t="s">
        <v>422</v>
      </c>
    </row>
    <row r="32" spans="1:9" s="12" customFormat="1" ht="14.25">
      <c r="A32" s="10"/>
      <c r="B32" s="263" t="s">
        <v>304</v>
      </c>
      <c r="C32" s="264"/>
      <c r="D32" s="264"/>
      <c r="E32" s="265"/>
      <c r="F32" s="66">
        <f>SUM(F31)</f>
        <v>13935.340022296545</v>
      </c>
      <c r="G32" s="47">
        <f>SUM(G31:G31)</f>
        <v>150000</v>
      </c>
      <c r="H32" s="67"/>
      <c r="I32" s="68"/>
    </row>
    <row r="33" spans="1:9" s="1" customFormat="1" ht="20.25">
      <c r="A33" s="32"/>
      <c r="B33" s="266" t="s">
        <v>216</v>
      </c>
      <c r="C33" s="266"/>
      <c r="D33" s="266"/>
      <c r="E33" s="266"/>
      <c r="F33" s="266"/>
      <c r="G33" s="266"/>
      <c r="H33" s="266"/>
      <c r="I33" s="266"/>
    </row>
    <row r="34" spans="1:9" s="1" customFormat="1" ht="28.5">
      <c r="A34" s="10">
        <v>1</v>
      </c>
      <c r="B34" s="9" t="s">
        <v>217</v>
      </c>
      <c r="C34" s="9" t="s">
        <v>228</v>
      </c>
      <c r="D34" s="9" t="s">
        <v>224</v>
      </c>
      <c r="E34" s="10" t="s">
        <v>225</v>
      </c>
      <c r="F34" s="6">
        <f>G34/10.764</f>
        <v>12252.60126347083</v>
      </c>
      <c r="G34" s="6">
        <v>131887</v>
      </c>
      <c r="H34" s="99" t="s">
        <v>432</v>
      </c>
      <c r="I34" s="43" t="s">
        <v>427</v>
      </c>
    </row>
    <row r="35" spans="1:9" s="1" customFormat="1">
      <c r="A35" s="10">
        <v>2</v>
      </c>
      <c r="B35" s="9" t="s">
        <v>217</v>
      </c>
      <c r="C35" s="9" t="s">
        <v>171</v>
      </c>
      <c r="D35" s="9" t="s">
        <v>241</v>
      </c>
      <c r="E35" s="10" t="s">
        <v>167</v>
      </c>
      <c r="F35" s="6">
        <f>G35/10.764</f>
        <v>5562.8948346339657</v>
      </c>
      <c r="G35" s="6">
        <v>59879</v>
      </c>
      <c r="H35" s="9"/>
      <c r="I35" s="10" t="s">
        <v>427</v>
      </c>
    </row>
    <row r="36" spans="1:9" s="12" customFormat="1" ht="14.25">
      <c r="A36" s="2"/>
      <c r="B36" s="271" t="s">
        <v>304</v>
      </c>
      <c r="C36" s="272"/>
      <c r="D36" s="272"/>
      <c r="E36" s="273"/>
      <c r="F36" s="69">
        <f>SUM(F34:F35)</f>
        <v>17815.496098104795</v>
      </c>
      <c r="G36" s="70">
        <f>SUM(G34:G35)</f>
        <v>191766</v>
      </c>
      <c r="H36" s="67"/>
      <c r="I36" s="68"/>
    </row>
    <row r="37" spans="1:9" s="1" customFormat="1" ht="18">
      <c r="A37" s="65"/>
      <c r="B37" s="81"/>
      <c r="C37" s="82"/>
      <c r="D37" s="82"/>
      <c r="E37" s="82" t="s">
        <v>304</v>
      </c>
      <c r="F37" s="83">
        <f>F11+F14+F17+F20+F23+F26+F29+F32+F36</f>
        <v>124689.52062430323</v>
      </c>
      <c r="G37" s="83">
        <f>G11+G14+G17+G20+G23+G26+G29+G32+G36</f>
        <v>1342158</v>
      </c>
      <c r="H37" s="83"/>
      <c r="I37" s="84"/>
    </row>
    <row r="39" spans="1:9">
      <c r="G39" s="92"/>
    </row>
    <row r="40" spans="1:9">
      <c r="G40" s="92"/>
    </row>
    <row r="41" spans="1:9">
      <c r="G41" s="92"/>
    </row>
  </sheetData>
  <autoFilter ref="A4:I4" xr:uid="{2134E9EC-C52D-47AD-89E0-06310FB4831A}"/>
  <mergeCells count="20">
    <mergeCell ref="B21:I21"/>
    <mergeCell ref="B27:I27"/>
    <mergeCell ref="B29:E29"/>
    <mergeCell ref="B30:I30"/>
    <mergeCell ref="B14:E14"/>
    <mergeCell ref="B15:I15"/>
    <mergeCell ref="B17:E17"/>
    <mergeCell ref="B18:I18"/>
    <mergeCell ref="B20:E20"/>
    <mergeCell ref="B1:I1"/>
    <mergeCell ref="B2:I2"/>
    <mergeCell ref="B5:I5"/>
    <mergeCell ref="B11:E11"/>
    <mergeCell ref="B12:I12"/>
    <mergeCell ref="B32:E32"/>
    <mergeCell ref="B24:I24"/>
    <mergeCell ref="B26:E26"/>
    <mergeCell ref="B23:E23"/>
    <mergeCell ref="B36:E36"/>
    <mergeCell ref="B33:I33"/>
  </mergeCells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"/>
  <sheetViews>
    <sheetView topLeftCell="A2" zoomScale="110" zoomScaleNormal="110" workbookViewId="0">
      <selection activeCell="A10" sqref="A10"/>
    </sheetView>
  </sheetViews>
  <sheetFormatPr defaultColWidth="11.42578125" defaultRowHeight="15"/>
  <cols>
    <col min="1" max="1" width="3" customWidth="1"/>
    <col min="2" max="2" width="17.7109375" customWidth="1"/>
    <col min="3" max="3" width="20.140625" customWidth="1"/>
    <col min="4" max="4" width="33.5703125" customWidth="1"/>
    <col min="5" max="5" width="19.28515625" customWidth="1"/>
    <col min="6" max="6" width="15.28515625" customWidth="1"/>
    <col min="7" max="8" width="14.5703125" customWidth="1"/>
    <col min="9" max="9" width="6.28515625" customWidth="1"/>
    <col min="10" max="10" width="13.5703125" customWidth="1"/>
    <col min="11" max="11" width="16" customWidth="1"/>
    <col min="12" max="12" width="43.7109375" customWidth="1"/>
    <col min="13" max="13" width="9.42578125" customWidth="1"/>
    <col min="14" max="14" width="7.7109375" customWidth="1"/>
  </cols>
  <sheetData>
    <row r="1" spans="1:16" s="1" customFormat="1" ht="22.5">
      <c r="A1" s="64"/>
      <c r="B1" s="274" t="s">
        <v>0</v>
      </c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64"/>
      <c r="P1" s="64"/>
    </row>
    <row r="2" spans="1:16" s="1" customFormat="1" ht="15.75" customHeight="1">
      <c r="A2" s="64"/>
      <c r="B2" s="252" t="s">
        <v>433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64"/>
      <c r="P2" s="64"/>
    </row>
    <row r="3" spans="1:16" s="86" customFormat="1" ht="27" customHeight="1">
      <c r="A3" s="85"/>
      <c r="B3" s="63" t="s">
        <v>2</v>
      </c>
      <c r="C3" s="29" t="s">
        <v>434</v>
      </c>
      <c r="D3" s="29" t="s">
        <v>4</v>
      </c>
      <c r="E3" s="29" t="s">
        <v>435</v>
      </c>
      <c r="F3" s="29" t="s">
        <v>436</v>
      </c>
      <c r="G3" s="29" t="s">
        <v>437</v>
      </c>
      <c r="H3" s="29" t="s">
        <v>438</v>
      </c>
      <c r="I3" s="29" t="s">
        <v>9</v>
      </c>
      <c r="J3" s="29" t="s">
        <v>10</v>
      </c>
      <c r="K3" s="30" t="s">
        <v>12</v>
      </c>
      <c r="L3" s="30" t="s">
        <v>13</v>
      </c>
      <c r="M3" s="30" t="s">
        <v>14</v>
      </c>
      <c r="N3" s="30" t="s">
        <v>439</v>
      </c>
    </row>
    <row r="4" spans="1:16" s="16" customFormat="1" ht="14.25" customHeight="1">
      <c r="A4" s="32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87"/>
      <c r="M4" s="87"/>
      <c r="N4" s="87"/>
      <c r="O4" s="64"/>
      <c r="P4" s="64"/>
    </row>
    <row r="5" spans="1:16" s="18" customFormat="1" ht="13.5">
      <c r="A5" s="15">
        <v>1</v>
      </c>
      <c r="B5" s="15" t="s">
        <v>247</v>
      </c>
      <c r="C5" s="15" t="s">
        <v>440</v>
      </c>
      <c r="D5" s="15" t="s">
        <v>249</v>
      </c>
      <c r="E5" s="14" t="s">
        <v>80</v>
      </c>
      <c r="F5" s="164">
        <v>430556.4</v>
      </c>
      <c r="G5" s="164">
        <v>11148.365231593352</v>
      </c>
      <c r="H5" s="164">
        <v>120000</v>
      </c>
      <c r="I5" s="166" t="s">
        <v>67</v>
      </c>
      <c r="J5" s="165" t="s">
        <v>194</v>
      </c>
      <c r="K5" s="164" t="s">
        <v>26</v>
      </c>
      <c r="L5" s="165" t="s">
        <v>441</v>
      </c>
      <c r="M5" s="165" t="s">
        <v>28</v>
      </c>
      <c r="N5" s="165"/>
      <c r="O5" s="88"/>
      <c r="P5" s="89"/>
    </row>
    <row r="6" spans="1:16" s="18" customFormat="1" ht="13.5">
      <c r="A6" s="15">
        <v>2</v>
      </c>
      <c r="B6" s="15" t="s">
        <v>263</v>
      </c>
      <c r="C6" s="15" t="s">
        <v>442</v>
      </c>
      <c r="D6" s="15" t="s">
        <v>443</v>
      </c>
      <c r="E6" s="14" t="s">
        <v>80</v>
      </c>
      <c r="F6" s="164" t="s">
        <v>444</v>
      </c>
      <c r="G6" s="164">
        <f>H6/10.764</f>
        <v>17251.579338535863</v>
      </c>
      <c r="H6" s="164">
        <v>185696</v>
      </c>
      <c r="I6" s="166" t="s">
        <v>43</v>
      </c>
      <c r="J6" s="165" t="s">
        <v>76</v>
      </c>
      <c r="K6" s="164" t="s">
        <v>26</v>
      </c>
      <c r="L6" s="165" t="s">
        <v>441</v>
      </c>
      <c r="M6" s="165" t="s">
        <v>28</v>
      </c>
      <c r="N6" s="165"/>
      <c r="O6" s="88"/>
      <c r="P6" s="89"/>
    </row>
    <row r="7" spans="1:16" s="18" customFormat="1" ht="13.5">
      <c r="A7" s="15">
        <v>3</v>
      </c>
      <c r="B7" s="15" t="s">
        <v>247</v>
      </c>
      <c r="C7" s="15" t="s">
        <v>445</v>
      </c>
      <c r="D7" s="15" t="s">
        <v>404</v>
      </c>
      <c r="E7" s="14" t="s">
        <v>80</v>
      </c>
      <c r="F7" s="172">
        <v>2475720</v>
      </c>
      <c r="G7" s="164" t="s">
        <v>444</v>
      </c>
      <c r="H7" s="164" t="s">
        <v>444</v>
      </c>
      <c r="I7" s="166" t="s">
        <v>96</v>
      </c>
      <c r="J7" s="165" t="s">
        <v>24</v>
      </c>
      <c r="K7" s="164" t="s">
        <v>26</v>
      </c>
      <c r="L7" s="165" t="s">
        <v>446</v>
      </c>
      <c r="M7" s="165"/>
      <c r="N7" s="165"/>
      <c r="O7" s="88"/>
      <c r="P7" s="89"/>
    </row>
    <row r="8" spans="1:16" s="18" customFormat="1" ht="13.5">
      <c r="A8" s="15">
        <v>4</v>
      </c>
      <c r="B8" s="15" t="s">
        <v>371</v>
      </c>
      <c r="C8" s="15" t="s">
        <v>447</v>
      </c>
      <c r="D8" s="15" t="s">
        <v>178</v>
      </c>
      <c r="E8" s="14" t="s">
        <v>80</v>
      </c>
      <c r="F8" s="172" t="s">
        <v>444</v>
      </c>
      <c r="G8" s="164">
        <f>H8/10.764</f>
        <v>5899.9442586399109</v>
      </c>
      <c r="H8" s="164">
        <v>63507</v>
      </c>
      <c r="I8" s="166" t="s">
        <v>96</v>
      </c>
      <c r="J8" s="165" t="s">
        <v>24</v>
      </c>
      <c r="K8" s="164" t="s">
        <v>26</v>
      </c>
      <c r="L8" s="165" t="s">
        <v>448</v>
      </c>
      <c r="M8" s="165"/>
      <c r="N8" s="165"/>
      <c r="O8" s="88"/>
      <c r="P8" s="89"/>
    </row>
    <row r="9" spans="1:16" s="18" customFormat="1" ht="13.5">
      <c r="A9" s="15">
        <v>5</v>
      </c>
      <c r="B9" s="15" t="s">
        <v>217</v>
      </c>
      <c r="C9" s="15" t="s">
        <v>317</v>
      </c>
      <c r="D9" s="15" t="s">
        <v>219</v>
      </c>
      <c r="E9" s="14" t="s">
        <v>80</v>
      </c>
      <c r="F9" s="172" t="s">
        <v>444</v>
      </c>
      <c r="G9" s="164">
        <f>H9/10.764</f>
        <v>6199.9256781865479</v>
      </c>
      <c r="H9" s="164">
        <v>66736</v>
      </c>
      <c r="I9" s="166" t="s">
        <v>96</v>
      </c>
      <c r="J9" s="165" t="s">
        <v>24</v>
      </c>
      <c r="K9" s="164" t="s">
        <v>449</v>
      </c>
      <c r="L9" s="165" t="s">
        <v>441</v>
      </c>
      <c r="M9" s="165"/>
      <c r="N9" s="165"/>
      <c r="O9" s="88"/>
      <c r="P9" s="89"/>
    </row>
    <row r="10" spans="1:16" s="18" customFormat="1" ht="13.5">
      <c r="A10" s="15">
        <v>6</v>
      </c>
      <c r="B10" s="15" t="s">
        <v>247</v>
      </c>
      <c r="C10" s="15" t="s">
        <v>450</v>
      </c>
      <c r="D10" s="15" t="s">
        <v>249</v>
      </c>
      <c r="E10" s="14" t="s">
        <v>80</v>
      </c>
      <c r="F10" s="164">
        <v>322920</v>
      </c>
      <c r="G10" s="164">
        <f>H10/10.764</f>
        <v>7534.095131921219</v>
      </c>
      <c r="H10" s="164">
        <v>81097</v>
      </c>
      <c r="I10" s="166" t="s">
        <v>88</v>
      </c>
      <c r="J10" s="165" t="s">
        <v>194</v>
      </c>
      <c r="K10" s="164" t="s">
        <v>26</v>
      </c>
      <c r="L10" s="165" t="s">
        <v>446</v>
      </c>
      <c r="M10" s="165" t="s">
        <v>28</v>
      </c>
      <c r="N10" s="165"/>
      <c r="O10" s="88"/>
      <c r="P10" s="89"/>
    </row>
    <row r="11" spans="1:16" s="18" customFormat="1" ht="13.5">
      <c r="A11" s="15">
        <v>7</v>
      </c>
      <c r="B11" s="15" t="s">
        <v>247</v>
      </c>
      <c r="C11" s="15" t="s">
        <v>451</v>
      </c>
      <c r="D11" s="15" t="s">
        <v>249</v>
      </c>
      <c r="E11" s="14" t="s">
        <v>80</v>
      </c>
      <c r="F11" s="164">
        <v>492706</v>
      </c>
      <c r="G11" s="164">
        <f>H11/10.764</f>
        <v>25529.35711631364</v>
      </c>
      <c r="H11" s="164">
        <v>274798</v>
      </c>
      <c r="I11" s="166" t="s">
        <v>91</v>
      </c>
      <c r="J11" s="165" t="s">
        <v>24</v>
      </c>
      <c r="K11" s="164" t="s">
        <v>102</v>
      </c>
      <c r="L11" s="165" t="s">
        <v>452</v>
      </c>
      <c r="M11" s="165"/>
      <c r="N11" s="165"/>
      <c r="O11" s="88"/>
      <c r="P11" s="89"/>
    </row>
    <row r="12" spans="1:16" s="18" customFormat="1" ht="13.5">
      <c r="A12" s="15">
        <v>8</v>
      </c>
      <c r="B12" s="15" t="s">
        <v>18</v>
      </c>
      <c r="C12" s="15" t="s">
        <v>453</v>
      </c>
      <c r="D12" s="15" t="s">
        <v>454</v>
      </c>
      <c r="E12" s="14" t="s">
        <v>80</v>
      </c>
      <c r="F12" s="164">
        <v>153215</v>
      </c>
      <c r="G12" s="164" t="s">
        <v>444</v>
      </c>
      <c r="H12" s="164" t="s">
        <v>444</v>
      </c>
      <c r="I12" s="166" t="s">
        <v>36</v>
      </c>
      <c r="J12" s="165" t="s">
        <v>76</v>
      </c>
      <c r="K12" s="164" t="s">
        <v>26</v>
      </c>
      <c r="L12" s="165" t="s">
        <v>455</v>
      </c>
      <c r="M12" s="165" t="s">
        <v>28</v>
      </c>
      <c r="N12" s="165"/>
      <c r="O12" s="88"/>
      <c r="P12" s="89"/>
    </row>
    <row r="13" spans="1:16" s="18" customFormat="1" ht="13.5">
      <c r="A13" s="15">
        <v>9</v>
      </c>
      <c r="B13" s="15" t="s">
        <v>247</v>
      </c>
      <c r="C13" s="15" t="s">
        <v>102</v>
      </c>
      <c r="D13" s="15" t="s">
        <v>249</v>
      </c>
      <c r="E13" s="14" t="s">
        <v>80</v>
      </c>
      <c r="F13" s="164">
        <v>290626</v>
      </c>
      <c r="G13" s="164">
        <f>H13/10.764</f>
        <v>5797.1014492753629</v>
      </c>
      <c r="H13" s="164">
        <v>62400</v>
      </c>
      <c r="I13" s="166" t="s">
        <v>23</v>
      </c>
      <c r="J13" s="165" t="s">
        <v>24</v>
      </c>
      <c r="K13" s="164" t="s">
        <v>102</v>
      </c>
      <c r="L13" s="165" t="s">
        <v>452</v>
      </c>
      <c r="M13" s="165" t="s">
        <v>28</v>
      </c>
      <c r="N13" s="165"/>
      <c r="O13" s="88"/>
      <c r="P13" s="89"/>
    </row>
    <row r="14" spans="1:16" s="18" customFormat="1" ht="13.5">
      <c r="A14" s="15">
        <v>10</v>
      </c>
      <c r="B14" s="15" t="s">
        <v>456</v>
      </c>
      <c r="C14" s="15" t="s">
        <v>457</v>
      </c>
      <c r="D14" s="15" t="s">
        <v>458</v>
      </c>
      <c r="E14" s="14" t="s">
        <v>459</v>
      </c>
      <c r="F14" s="164" t="s">
        <v>444</v>
      </c>
      <c r="G14" s="164">
        <f>H14/10.764</f>
        <v>14120.86584912672</v>
      </c>
      <c r="H14" s="164">
        <v>151997</v>
      </c>
      <c r="I14" s="166" t="s">
        <v>23</v>
      </c>
      <c r="J14" s="165" t="s">
        <v>24</v>
      </c>
      <c r="K14" s="164" t="s">
        <v>102</v>
      </c>
      <c r="L14" s="165" t="s">
        <v>452</v>
      </c>
      <c r="M14" s="165" t="s">
        <v>28</v>
      </c>
      <c r="N14" s="165"/>
      <c r="O14" s="88"/>
      <c r="P14" s="89"/>
    </row>
    <row r="15" spans="1:16" s="91" customFormat="1" ht="18">
      <c r="A15" s="101"/>
      <c r="B15" s="102"/>
      <c r="C15" s="102"/>
      <c r="D15" s="103"/>
      <c r="E15" s="103" t="s">
        <v>304</v>
      </c>
      <c r="F15" s="104">
        <f>SUM(F5:F14)</f>
        <v>4165743.4</v>
      </c>
      <c r="G15" s="104"/>
      <c r="H15" s="104">
        <f>SUM(H5:H14)</f>
        <v>1006231</v>
      </c>
      <c r="I15" s="105"/>
      <c r="J15" s="103"/>
      <c r="K15" s="106"/>
      <c r="L15" s="107"/>
      <c r="M15" s="107"/>
      <c r="N15" s="107"/>
      <c r="O15" s="90"/>
      <c r="P15" s="90"/>
    </row>
    <row r="17" spans="1:11">
      <c r="A17" s="85"/>
      <c r="B17" s="278" t="s">
        <v>460</v>
      </c>
      <c r="C17" s="279"/>
      <c r="D17" s="279"/>
      <c r="E17" s="279"/>
      <c r="F17" s="279"/>
      <c r="G17" s="98"/>
      <c r="H17" s="108"/>
      <c r="I17" s="109"/>
      <c r="K17" s="100"/>
    </row>
    <row r="18" spans="1:11">
      <c r="B18" s="218" t="s">
        <v>461</v>
      </c>
      <c r="C18" s="92"/>
    </row>
  </sheetData>
  <mergeCells count="4">
    <mergeCell ref="B1:N1"/>
    <mergeCell ref="B2:N2"/>
    <mergeCell ref="B4:K4"/>
    <mergeCell ref="B17:F17"/>
  </mergeCells>
  <pageMargins left="0.70866141732283472" right="0.70866141732283472" top="0.74803149606299213" bottom="0.74803149606299213" header="0.31496062992125984" footer="0.31496062992125984"/>
  <pageSetup paperSize="17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CCC9-9600-4BFC-B76F-FD7A8570F1BF}">
  <dimension ref="A1:Q31"/>
  <sheetViews>
    <sheetView workbookViewId="0">
      <selection activeCell="D16" sqref="D16"/>
    </sheetView>
  </sheetViews>
  <sheetFormatPr defaultColWidth="11.42578125" defaultRowHeight="15"/>
  <cols>
    <col min="1" max="1" width="3" customWidth="1"/>
    <col min="2" max="2" width="17.7109375" customWidth="1"/>
    <col min="3" max="3" width="20.85546875" customWidth="1"/>
    <col min="4" max="4" width="29.7109375" customWidth="1"/>
    <col min="5" max="5" width="21.42578125" customWidth="1"/>
    <col min="6" max="6" width="15.5703125" customWidth="1"/>
    <col min="7" max="7" width="19.28515625" customWidth="1"/>
    <col min="8" max="8" width="23.85546875" customWidth="1"/>
    <col min="9" max="9" width="12.42578125" customWidth="1"/>
    <col min="10" max="10" width="26.140625" customWidth="1"/>
  </cols>
  <sheetData>
    <row r="1" spans="1:17" s="1" customFormat="1" ht="22.5">
      <c r="A1" s="274" t="s">
        <v>0</v>
      </c>
      <c r="B1" s="274"/>
      <c r="C1" s="274"/>
      <c r="D1" s="274"/>
      <c r="E1" s="274"/>
      <c r="F1" s="274"/>
      <c r="G1" s="274"/>
      <c r="H1" s="274"/>
      <c r="I1" s="274"/>
      <c r="J1" s="274"/>
      <c r="K1" s="182"/>
      <c r="L1" s="182"/>
      <c r="M1" s="182"/>
      <c r="N1" s="182"/>
      <c r="O1" s="182"/>
      <c r="P1" s="64"/>
      <c r="Q1" s="64"/>
    </row>
    <row r="2" spans="1:17" s="1" customFormat="1" ht="15.75" customHeight="1">
      <c r="A2" s="275" t="s">
        <v>462</v>
      </c>
      <c r="B2" s="275"/>
      <c r="C2" s="275"/>
      <c r="D2" s="275"/>
      <c r="E2" s="275"/>
      <c r="F2" s="275"/>
      <c r="G2" s="275"/>
      <c r="H2" s="275"/>
      <c r="I2" s="275"/>
      <c r="J2" s="275"/>
      <c r="K2" s="183"/>
      <c r="L2" s="183"/>
      <c r="M2" s="183"/>
      <c r="N2" s="183"/>
      <c r="O2" s="183"/>
      <c r="P2" s="64"/>
      <c r="Q2" s="64"/>
    </row>
    <row r="3" spans="1:17" s="1" customFormat="1">
      <c r="A3" s="64"/>
      <c r="B3" s="64"/>
      <c r="C3" s="64"/>
      <c r="D3" s="64"/>
      <c r="E3" s="64"/>
      <c r="F3" s="64"/>
      <c r="G3" s="64"/>
      <c r="H3" s="64"/>
      <c r="I3" s="64"/>
      <c r="J3" s="64"/>
      <c r="K3" s="184"/>
      <c r="L3" s="64"/>
      <c r="M3" s="64"/>
      <c r="N3" s="64"/>
      <c r="O3" s="64"/>
      <c r="P3" s="64"/>
      <c r="Q3" s="64"/>
    </row>
    <row r="4" spans="1:17" s="86" customFormat="1" ht="27" customHeight="1">
      <c r="A4" s="85"/>
      <c r="B4" s="63" t="s">
        <v>2</v>
      </c>
      <c r="C4" s="29" t="s">
        <v>434</v>
      </c>
      <c r="D4" s="29" t="s">
        <v>4</v>
      </c>
      <c r="E4" s="185" t="s">
        <v>463</v>
      </c>
      <c r="F4" s="29" t="s">
        <v>464</v>
      </c>
      <c r="G4" s="29" t="s">
        <v>465</v>
      </c>
      <c r="H4" s="29" t="s">
        <v>466</v>
      </c>
      <c r="I4" s="30" t="s">
        <v>439</v>
      </c>
      <c r="J4" s="30" t="s">
        <v>13</v>
      </c>
    </row>
    <row r="5" spans="1:17" s="16" customFormat="1" ht="14.25" customHeight="1">
      <c r="A5" s="32"/>
      <c r="B5" s="277"/>
      <c r="C5" s="277"/>
      <c r="D5" s="277"/>
      <c r="E5" s="277"/>
      <c r="F5" s="277"/>
      <c r="G5" s="277"/>
      <c r="H5" s="277"/>
      <c r="I5" s="277"/>
      <c r="J5" s="186"/>
      <c r="K5" s="64"/>
      <c r="L5" s="64"/>
    </row>
    <row r="6" spans="1:17" s="18" customFormat="1" ht="24" customHeight="1">
      <c r="A6" s="15">
        <v>1</v>
      </c>
      <c r="B6" s="5" t="s">
        <v>297</v>
      </c>
      <c r="C6" s="10" t="s">
        <v>300</v>
      </c>
      <c r="D6" s="10" t="s">
        <v>467</v>
      </c>
      <c r="E6" s="6">
        <v>1433</v>
      </c>
      <c r="F6" s="6">
        <v>77.89</v>
      </c>
      <c r="G6" s="6">
        <v>1355</v>
      </c>
      <c r="H6" s="6">
        <v>78</v>
      </c>
      <c r="I6" s="174">
        <v>60</v>
      </c>
      <c r="J6" s="204" t="s">
        <v>468</v>
      </c>
      <c r="K6" s="88"/>
      <c r="L6" s="89"/>
    </row>
    <row r="7" spans="1:17" s="18" customFormat="1" ht="13.5">
      <c r="A7" s="15">
        <v>2</v>
      </c>
      <c r="B7" s="5" t="s">
        <v>371</v>
      </c>
      <c r="C7" s="10" t="s">
        <v>41</v>
      </c>
      <c r="D7" s="10" t="s">
        <v>373</v>
      </c>
      <c r="E7" s="98">
        <v>140</v>
      </c>
      <c r="F7" s="6">
        <v>140</v>
      </c>
      <c r="G7" s="6">
        <v>0</v>
      </c>
      <c r="H7" s="6">
        <v>80</v>
      </c>
      <c r="I7" s="174">
        <v>60</v>
      </c>
      <c r="J7" s="10"/>
      <c r="K7" s="88"/>
      <c r="L7" s="89"/>
    </row>
    <row r="8" spans="1:17" s="18" customFormat="1" ht="13.5">
      <c r="A8" s="15">
        <v>3</v>
      </c>
      <c r="B8" s="5" t="s">
        <v>371</v>
      </c>
      <c r="C8" s="10" t="s">
        <v>179</v>
      </c>
      <c r="D8" s="10" t="s">
        <v>469</v>
      </c>
      <c r="E8" s="6"/>
      <c r="F8" s="10"/>
      <c r="G8" s="6"/>
      <c r="H8" s="6"/>
      <c r="I8" s="174"/>
      <c r="J8" s="10"/>
      <c r="K8" s="88"/>
      <c r="L8" s="89"/>
    </row>
    <row r="9" spans="1:17" s="18" customFormat="1" ht="13.5">
      <c r="A9" s="15">
        <v>4</v>
      </c>
      <c r="B9" s="5" t="s">
        <v>371</v>
      </c>
      <c r="C9" s="10" t="s">
        <v>179</v>
      </c>
      <c r="D9" s="10" t="s">
        <v>178</v>
      </c>
      <c r="E9" s="6"/>
      <c r="F9" s="10"/>
      <c r="G9" s="6"/>
      <c r="H9" s="6"/>
      <c r="I9" s="174"/>
      <c r="J9" s="10"/>
      <c r="K9" s="88"/>
      <c r="L9" s="89"/>
    </row>
    <row r="10" spans="1:17" s="18" customFormat="1" ht="13.5">
      <c r="A10" s="15">
        <v>5</v>
      </c>
      <c r="B10" s="5" t="s">
        <v>371</v>
      </c>
      <c r="C10" s="10" t="s">
        <v>470</v>
      </c>
      <c r="D10" s="10" t="s">
        <v>471</v>
      </c>
      <c r="E10" s="6"/>
      <c r="F10" s="10"/>
      <c r="G10" s="6"/>
      <c r="H10" s="6"/>
      <c r="I10" s="174"/>
      <c r="J10" s="10"/>
      <c r="K10" s="88"/>
      <c r="L10" s="89"/>
    </row>
    <row r="11" spans="1:17" s="18" customFormat="1" ht="13.5">
      <c r="A11" s="5">
        <v>6</v>
      </c>
      <c r="B11" s="5" t="s">
        <v>371</v>
      </c>
      <c r="C11" s="10" t="s">
        <v>472</v>
      </c>
      <c r="D11" s="10" t="s">
        <v>175</v>
      </c>
      <c r="E11" s="6">
        <v>7</v>
      </c>
      <c r="F11" s="10"/>
      <c r="G11" s="6"/>
      <c r="H11" s="6"/>
      <c r="I11" s="174"/>
      <c r="J11" s="96" t="s">
        <v>473</v>
      </c>
    </row>
    <row r="12" spans="1:17" s="18" customFormat="1" ht="13.5">
      <c r="A12" s="5">
        <v>7</v>
      </c>
      <c r="B12" s="5" t="s">
        <v>18</v>
      </c>
      <c r="C12" s="10" t="s">
        <v>472</v>
      </c>
      <c r="D12" s="10" t="s">
        <v>474</v>
      </c>
      <c r="E12" s="6">
        <v>12.57</v>
      </c>
      <c r="F12" s="10"/>
      <c r="G12" s="6"/>
      <c r="H12" s="6"/>
      <c r="I12" s="174"/>
      <c r="J12" s="96"/>
    </row>
    <row r="13" spans="1:17" s="18" customFormat="1" ht="13.5">
      <c r="A13" s="15">
        <v>8</v>
      </c>
      <c r="B13" s="5" t="s">
        <v>18</v>
      </c>
      <c r="C13" s="10" t="s">
        <v>167</v>
      </c>
      <c r="D13" s="10"/>
      <c r="E13" s="6"/>
      <c r="F13" s="10"/>
      <c r="G13" s="6"/>
      <c r="H13" s="6"/>
      <c r="I13" s="174"/>
      <c r="J13" s="96"/>
    </row>
    <row r="14" spans="1:17" s="18" customFormat="1" ht="13.5">
      <c r="A14" s="15">
        <v>9</v>
      </c>
      <c r="B14" s="5" t="s">
        <v>18</v>
      </c>
      <c r="C14" s="10" t="s">
        <v>339</v>
      </c>
      <c r="D14" s="10"/>
      <c r="E14" s="6"/>
      <c r="F14" s="10"/>
      <c r="G14" s="6"/>
      <c r="H14" s="6"/>
      <c r="I14" s="174"/>
      <c r="J14" s="96"/>
    </row>
    <row r="15" spans="1:17" s="18" customFormat="1" ht="13.5">
      <c r="A15" s="15">
        <v>10</v>
      </c>
      <c r="B15" s="5" t="s">
        <v>18</v>
      </c>
      <c r="C15" s="10" t="s">
        <v>322</v>
      </c>
      <c r="D15" s="10" t="s">
        <v>321</v>
      </c>
      <c r="E15" s="6">
        <v>27</v>
      </c>
      <c r="F15" s="10">
        <v>2.2999999999999998</v>
      </c>
      <c r="G15" s="6">
        <v>24</v>
      </c>
      <c r="H15" s="6"/>
      <c r="I15" s="174"/>
      <c r="J15" s="96"/>
    </row>
    <row r="16" spans="1:17" s="18" customFormat="1" ht="13.5">
      <c r="A16" s="15">
        <v>11</v>
      </c>
      <c r="B16" s="5" t="s">
        <v>18</v>
      </c>
      <c r="C16" s="10" t="s">
        <v>274</v>
      </c>
      <c r="D16" s="10" t="s">
        <v>475</v>
      </c>
      <c r="E16" s="164">
        <v>70</v>
      </c>
      <c r="F16" s="165">
        <v>70</v>
      </c>
      <c r="G16" s="164">
        <v>0</v>
      </c>
      <c r="H16" s="164">
        <v>0</v>
      </c>
      <c r="I16" s="175"/>
      <c r="J16" s="96"/>
    </row>
    <row r="17" spans="1:12" s="18" customFormat="1" ht="13.5">
      <c r="A17" s="15">
        <v>12</v>
      </c>
      <c r="B17" s="5" t="s">
        <v>18</v>
      </c>
      <c r="C17" s="10" t="s">
        <v>425</v>
      </c>
      <c r="D17" s="10" t="s">
        <v>476</v>
      </c>
      <c r="E17" s="164">
        <v>43</v>
      </c>
      <c r="F17" s="165"/>
      <c r="G17" s="164"/>
      <c r="H17" s="164">
        <v>43</v>
      </c>
      <c r="I17" s="175"/>
      <c r="J17" s="96"/>
    </row>
    <row r="18" spans="1:12" s="18" customFormat="1" ht="13.5">
      <c r="A18" s="15">
        <v>13</v>
      </c>
      <c r="B18" s="5" t="s">
        <v>477</v>
      </c>
      <c r="C18" s="10" t="s">
        <v>274</v>
      </c>
      <c r="D18" s="10" t="s">
        <v>249</v>
      </c>
      <c r="E18" s="164">
        <v>242</v>
      </c>
      <c r="F18" s="165">
        <v>200</v>
      </c>
      <c r="G18" s="164">
        <v>32</v>
      </c>
      <c r="H18" s="164">
        <v>32</v>
      </c>
      <c r="I18" s="175"/>
      <c r="J18" s="96"/>
    </row>
    <row r="19" spans="1:12" s="18" customFormat="1" ht="13.5">
      <c r="A19" s="15">
        <v>14</v>
      </c>
      <c r="B19" s="5" t="s">
        <v>478</v>
      </c>
      <c r="C19" s="10" t="s">
        <v>274</v>
      </c>
      <c r="D19" s="10" t="s">
        <v>276</v>
      </c>
      <c r="E19" s="164">
        <v>150</v>
      </c>
      <c r="F19" s="165">
        <v>89</v>
      </c>
      <c r="G19" s="164">
        <v>67</v>
      </c>
      <c r="H19" s="164">
        <v>67</v>
      </c>
      <c r="I19" s="175"/>
      <c r="J19" s="96"/>
    </row>
    <row r="20" spans="1:12" s="18" customFormat="1" ht="13.5">
      <c r="A20" s="5">
        <v>15</v>
      </c>
      <c r="B20" s="5" t="s">
        <v>478</v>
      </c>
      <c r="C20" s="10" t="s">
        <v>479</v>
      </c>
      <c r="D20" s="10" t="s">
        <v>479</v>
      </c>
      <c r="E20" s="6">
        <v>2.7</v>
      </c>
      <c r="F20" s="10"/>
      <c r="G20" s="6">
        <v>1</v>
      </c>
      <c r="H20" s="6">
        <v>1.7</v>
      </c>
      <c r="I20" s="174"/>
      <c r="J20" s="96"/>
    </row>
    <row r="21" spans="1:12" s="18" customFormat="1" ht="13.5">
      <c r="A21" s="5">
        <v>16</v>
      </c>
      <c r="B21" s="5" t="s">
        <v>217</v>
      </c>
      <c r="C21" s="10" t="s">
        <v>236</v>
      </c>
      <c r="D21" s="10" t="s">
        <v>235</v>
      </c>
      <c r="E21" s="6">
        <v>21</v>
      </c>
      <c r="F21" s="10"/>
      <c r="G21" s="6">
        <v>21</v>
      </c>
      <c r="H21" s="6">
        <v>21</v>
      </c>
      <c r="I21" s="174">
        <v>110</v>
      </c>
      <c r="J21" s="96" t="s">
        <v>480</v>
      </c>
    </row>
    <row r="22" spans="1:12" s="18" customFormat="1" ht="13.5">
      <c r="A22" s="15">
        <v>17</v>
      </c>
      <c r="B22" s="5" t="s">
        <v>456</v>
      </c>
      <c r="C22" s="10" t="s">
        <v>481</v>
      </c>
      <c r="D22" s="10" t="s">
        <v>479</v>
      </c>
      <c r="E22" s="6">
        <v>60</v>
      </c>
      <c r="F22" s="10"/>
      <c r="G22" s="6"/>
      <c r="H22" s="6">
        <v>60</v>
      </c>
      <c r="I22" s="174"/>
      <c r="J22" s="96"/>
    </row>
    <row r="23" spans="1:12" s="18" customFormat="1" ht="13.5">
      <c r="A23" s="5">
        <v>18</v>
      </c>
      <c r="B23" s="5" t="s">
        <v>482</v>
      </c>
      <c r="C23" s="10" t="s">
        <v>483</v>
      </c>
      <c r="D23" s="10" t="s">
        <v>484</v>
      </c>
      <c r="E23" s="6">
        <v>100</v>
      </c>
      <c r="F23" s="10">
        <v>0</v>
      </c>
      <c r="G23" s="6">
        <v>100</v>
      </c>
      <c r="H23" s="6">
        <v>100</v>
      </c>
      <c r="I23" s="176"/>
      <c r="J23" s="96"/>
    </row>
    <row r="24" spans="1:12" s="18" customFormat="1" ht="13.5">
      <c r="A24" s="5">
        <v>19</v>
      </c>
      <c r="B24" s="5" t="s">
        <v>482</v>
      </c>
      <c r="C24" s="10" t="s">
        <v>483</v>
      </c>
      <c r="D24" s="10" t="s">
        <v>485</v>
      </c>
      <c r="E24" s="6">
        <v>15</v>
      </c>
      <c r="F24" s="10">
        <v>5</v>
      </c>
      <c r="G24" s="6">
        <v>10</v>
      </c>
      <c r="H24" s="6">
        <v>6</v>
      </c>
      <c r="I24" s="176"/>
      <c r="J24" s="96"/>
    </row>
    <row r="25" spans="1:12" s="18" customFormat="1" ht="13.5">
      <c r="A25" s="5">
        <v>20</v>
      </c>
      <c r="B25" s="5" t="s">
        <v>486</v>
      </c>
      <c r="C25" s="10" t="s">
        <v>483</v>
      </c>
      <c r="D25" s="10" t="s">
        <v>487</v>
      </c>
      <c r="E25" s="6">
        <v>56</v>
      </c>
      <c r="F25" s="10">
        <v>20</v>
      </c>
      <c r="G25" s="6">
        <v>36</v>
      </c>
      <c r="H25" s="6">
        <v>56</v>
      </c>
      <c r="I25" s="176"/>
      <c r="J25" s="96"/>
    </row>
    <row r="26" spans="1:12" s="18" customFormat="1" ht="13.5">
      <c r="A26" s="5">
        <v>21</v>
      </c>
      <c r="B26" s="5" t="s">
        <v>254</v>
      </c>
      <c r="C26" s="10" t="s">
        <v>483</v>
      </c>
      <c r="D26" s="10" t="s">
        <v>488</v>
      </c>
      <c r="E26" s="6">
        <v>40</v>
      </c>
      <c r="F26" s="10">
        <v>50</v>
      </c>
      <c r="G26" s="6">
        <v>40</v>
      </c>
      <c r="H26" s="6">
        <v>15</v>
      </c>
      <c r="I26" s="176"/>
      <c r="J26" s="96"/>
    </row>
    <row r="27" spans="1:12" s="18" customFormat="1" ht="13.5">
      <c r="A27" s="5">
        <v>22</v>
      </c>
      <c r="B27" s="5" t="s">
        <v>254</v>
      </c>
      <c r="C27" s="10" t="s">
        <v>182</v>
      </c>
      <c r="D27" s="10" t="s">
        <v>489</v>
      </c>
      <c r="E27" s="6">
        <v>14.6</v>
      </c>
      <c r="F27" s="10"/>
      <c r="G27" s="6">
        <v>15</v>
      </c>
      <c r="H27" s="6">
        <v>15</v>
      </c>
      <c r="I27" s="174"/>
      <c r="J27" s="96" t="s">
        <v>490</v>
      </c>
    </row>
    <row r="28" spans="1:12" s="91" customFormat="1" ht="18">
      <c r="A28" s="177"/>
      <c r="B28" s="178"/>
      <c r="C28" s="178"/>
      <c r="D28" s="179"/>
      <c r="E28" s="180"/>
      <c r="F28" s="179"/>
      <c r="G28" s="180"/>
      <c r="H28" s="180"/>
      <c r="I28" s="180"/>
      <c r="J28" s="187"/>
      <c r="K28" s="90"/>
      <c r="L28" s="90"/>
    </row>
    <row r="30" spans="1:12">
      <c r="C30" s="98"/>
    </row>
    <row r="31" spans="1:12">
      <c r="C31" s="98"/>
    </row>
  </sheetData>
  <mergeCells count="3">
    <mergeCell ref="A1:J1"/>
    <mergeCell ref="A2:J2"/>
    <mergeCell ref="B5:I5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E0D8-7713-4602-8856-7F6F13649FCB}">
  <dimension ref="A1:M36"/>
  <sheetViews>
    <sheetView workbookViewId="0">
      <selection activeCell="A14" sqref="A14"/>
    </sheetView>
  </sheetViews>
  <sheetFormatPr defaultColWidth="11.42578125" defaultRowHeight="15"/>
  <cols>
    <col min="1" max="1" width="34.28515625" customWidth="1"/>
    <col min="2" max="2" width="12" customWidth="1"/>
    <col min="3" max="3" width="8.28515625" customWidth="1"/>
    <col min="4" max="4" width="11.42578125" customWidth="1"/>
    <col min="5" max="5" width="8.140625" customWidth="1"/>
    <col min="6" max="6" width="12.5703125" customWidth="1"/>
    <col min="7" max="7" width="8.5703125" customWidth="1"/>
    <col min="8" max="8" width="11.5703125" customWidth="1"/>
    <col min="9" max="9" width="8.28515625" customWidth="1"/>
    <col min="10" max="10" width="13.140625" customWidth="1"/>
  </cols>
  <sheetData>
    <row r="1" spans="1:11" ht="15.75" thickBot="1">
      <c r="A1" s="280" t="s">
        <v>491</v>
      </c>
      <c r="B1" s="280"/>
      <c r="C1" s="280"/>
      <c r="D1" s="280"/>
      <c r="E1" s="280"/>
      <c r="F1" s="280"/>
      <c r="G1" s="280"/>
      <c r="H1" s="280"/>
      <c r="I1" s="280"/>
      <c r="J1" s="280"/>
    </row>
    <row r="2" spans="1:11">
      <c r="A2" s="281" t="s">
        <v>492</v>
      </c>
      <c r="B2" s="283" t="s">
        <v>493</v>
      </c>
      <c r="C2" s="284"/>
      <c r="D2" s="285" t="s">
        <v>494</v>
      </c>
      <c r="E2" s="286"/>
      <c r="F2" s="285" t="s">
        <v>495</v>
      </c>
      <c r="G2" s="286"/>
      <c r="H2" s="285" t="s">
        <v>496</v>
      </c>
      <c r="I2" s="286"/>
      <c r="J2" s="197" t="s">
        <v>497</v>
      </c>
    </row>
    <row r="3" spans="1:11" ht="30">
      <c r="A3" s="282"/>
      <c r="B3" s="205" t="s">
        <v>498</v>
      </c>
      <c r="C3" s="205" t="s">
        <v>499</v>
      </c>
      <c r="D3" s="188" t="s">
        <v>498</v>
      </c>
      <c r="E3" s="189" t="s">
        <v>499</v>
      </c>
      <c r="F3" s="188" t="s">
        <v>498</v>
      </c>
      <c r="G3" s="189" t="s">
        <v>499</v>
      </c>
      <c r="H3" s="188" t="s">
        <v>498</v>
      </c>
      <c r="I3" s="189" t="s">
        <v>499</v>
      </c>
      <c r="J3" s="188" t="s">
        <v>498</v>
      </c>
    </row>
    <row r="4" spans="1:11" ht="12.75" customHeight="1">
      <c r="A4" s="190" t="s">
        <v>186</v>
      </c>
      <c r="B4" s="199"/>
      <c r="C4" s="199"/>
      <c r="D4" s="199"/>
      <c r="E4" s="199"/>
      <c r="F4" s="191"/>
      <c r="G4" s="191"/>
      <c r="H4" s="191"/>
      <c r="I4" s="191"/>
      <c r="J4" s="198"/>
    </row>
    <row r="5" spans="1:11">
      <c r="A5" s="192" t="s">
        <v>500</v>
      </c>
      <c r="B5" s="208">
        <v>11005419</v>
      </c>
      <c r="C5" s="212">
        <f>B5/B36</f>
        <v>0.1846116962950286</v>
      </c>
      <c r="D5" s="206">
        <v>11005419</v>
      </c>
      <c r="E5" s="212">
        <f>D5/D36</f>
        <v>0.19411983896432691</v>
      </c>
      <c r="F5" s="206">
        <v>11005419</v>
      </c>
      <c r="G5" s="207">
        <f>F5/F36</f>
        <v>0.19687245815949567</v>
      </c>
      <c r="H5" s="208">
        <f>J5+414169+53382+178300+90928</f>
        <v>13829907</v>
      </c>
      <c r="I5" s="207">
        <f>H5/H36</f>
        <v>0.2484870321963196</v>
      </c>
      <c r="J5" s="208">
        <v>13093128</v>
      </c>
    </row>
    <row r="6" spans="1:11">
      <c r="A6" s="192" t="s">
        <v>41</v>
      </c>
      <c r="B6" s="208">
        <v>6188114</v>
      </c>
      <c r="C6" s="212">
        <f>B6/B36</f>
        <v>0.10380324660124386</v>
      </c>
      <c r="D6" s="206">
        <v>5574956</v>
      </c>
      <c r="E6" s="212">
        <f>D6/D36</f>
        <v>9.833424433483251E-2</v>
      </c>
      <c r="F6" s="206">
        <v>5574956</v>
      </c>
      <c r="G6" s="207">
        <f>F6/F36</f>
        <v>9.9728623858031148E-2</v>
      </c>
      <c r="H6" s="208">
        <v>5574955</v>
      </c>
      <c r="I6" s="207">
        <f>H6/H36</f>
        <v>0.10016726956862637</v>
      </c>
      <c r="J6" s="208">
        <v>5836395</v>
      </c>
    </row>
    <row r="7" spans="1:11">
      <c r="A7" s="192" t="s">
        <v>153</v>
      </c>
      <c r="B7" s="208">
        <f>D7</f>
        <v>3659240</v>
      </c>
      <c r="C7" s="212">
        <f>B7/B36</f>
        <v>6.1382352053167673E-2</v>
      </c>
      <c r="D7" s="206">
        <f>F7</f>
        <v>3659240</v>
      </c>
      <c r="E7" s="212">
        <f>D7/D36</f>
        <v>6.4543756083418863E-2</v>
      </c>
      <c r="F7" s="206">
        <f>H7</f>
        <v>3659240</v>
      </c>
      <c r="G7" s="207">
        <f>F7/F36</f>
        <v>6.5458986504335084E-2</v>
      </c>
      <c r="H7" s="208">
        <f>J7+174240</f>
        <v>3659240</v>
      </c>
      <c r="I7" s="207">
        <f>H7/H36</f>
        <v>6.5746912664999158E-2</v>
      </c>
      <c r="J7" s="208">
        <v>3485000</v>
      </c>
    </row>
    <row r="8" spans="1:11">
      <c r="A8" s="192" t="s">
        <v>501</v>
      </c>
      <c r="B8" s="208">
        <v>4530479</v>
      </c>
      <c r="C8" s="212">
        <f>B8/B36</f>
        <v>7.5997053198883655E-2</v>
      </c>
      <c r="D8" s="206">
        <v>4530479</v>
      </c>
      <c r="E8" s="212">
        <f>D8/D36</f>
        <v>7.9911165027998013E-2</v>
      </c>
      <c r="F8" s="206">
        <v>3867979</v>
      </c>
      <c r="G8" s="207">
        <f>F8/F36</f>
        <v>6.9193052426200927E-2</v>
      </c>
      <c r="H8" s="208">
        <f>J8+501440</f>
        <v>3914630</v>
      </c>
      <c r="I8" s="207">
        <f>H8/H36</f>
        <v>7.0335598847243053E-2</v>
      </c>
      <c r="J8" s="208">
        <v>3413190</v>
      </c>
      <c r="K8" s="92"/>
    </row>
    <row r="9" spans="1:11">
      <c r="A9" s="192" t="s">
        <v>182</v>
      </c>
      <c r="B9" s="208">
        <v>629014</v>
      </c>
      <c r="C9" s="209">
        <f>B9/B36</f>
        <v>1.055146937461637E-2</v>
      </c>
      <c r="D9" s="206">
        <v>413277</v>
      </c>
      <c r="E9" s="212">
        <f>D9/D36</f>
        <v>7.289614751392939E-3</v>
      </c>
      <c r="F9" s="206">
        <v>413277</v>
      </c>
      <c r="G9" s="207">
        <f>F9/F36</f>
        <v>7.3929814840109119E-3</v>
      </c>
      <c r="H9" s="208">
        <f>119997+271497+271500</f>
        <v>662994</v>
      </c>
      <c r="I9" s="207">
        <f>H9/H36</f>
        <v>1.1912257358199641E-2</v>
      </c>
      <c r="J9" s="208">
        <v>2396034</v>
      </c>
    </row>
    <row r="10" spans="1:11">
      <c r="A10" s="192" t="s">
        <v>502</v>
      </c>
      <c r="B10" s="208">
        <v>745267.51</v>
      </c>
      <c r="C10" s="212">
        <f>B10/B36</f>
        <v>1.2501577560533788E-2</v>
      </c>
      <c r="D10" s="206">
        <v>745268</v>
      </c>
      <c r="E10" s="212">
        <f>D10/D36</f>
        <v>1.3145460808467718E-2</v>
      </c>
      <c r="F10" s="206">
        <v>745268</v>
      </c>
      <c r="G10" s="207">
        <f>F10/F36</f>
        <v>1.3331863434514488E-2</v>
      </c>
      <c r="H10" s="213">
        <f>J10+338743+110000</f>
        <v>594743</v>
      </c>
      <c r="I10" s="207">
        <f>H10/H36</f>
        <v>1.0685966506465713E-2</v>
      </c>
      <c r="J10" s="208">
        <v>146000</v>
      </c>
    </row>
    <row r="11" spans="1:11">
      <c r="A11" s="192" t="s">
        <v>503</v>
      </c>
      <c r="B11" s="208">
        <v>2776292</v>
      </c>
      <c r="C11" s="212">
        <f>B11/B36</f>
        <v>4.6571236908864402E-2</v>
      </c>
      <c r="D11" s="206">
        <v>2776292</v>
      </c>
      <c r="E11" s="212">
        <f>D11/D36</f>
        <v>4.8969817138079803E-2</v>
      </c>
      <c r="F11" s="206">
        <v>2776292</v>
      </c>
      <c r="G11" s="207">
        <f>F11/F36</f>
        <v>4.9664209114486463E-2</v>
      </c>
      <c r="H11" s="208">
        <v>2776292</v>
      </c>
      <c r="I11" s="207">
        <f>H11/H36</f>
        <v>4.9882660786539239E-2</v>
      </c>
      <c r="J11" s="208">
        <v>2776292</v>
      </c>
    </row>
    <row r="12" spans="1:11">
      <c r="A12" s="192" t="s">
        <v>317</v>
      </c>
      <c r="B12" s="208">
        <v>1871946</v>
      </c>
      <c r="C12" s="212">
        <f>B12/B36</f>
        <v>3.1401178495129863E-2</v>
      </c>
      <c r="D12" s="208">
        <v>680182</v>
      </c>
      <c r="E12" s="212">
        <f>D12/D36</f>
        <v>1.1997436926884274E-2</v>
      </c>
      <c r="F12" s="206">
        <f>H12</f>
        <v>2463670.69</v>
      </c>
      <c r="G12" s="207">
        <f>F12/F36</f>
        <v>4.4071825419441164E-2</v>
      </c>
      <c r="H12" s="208">
        <f>J12+55973</f>
        <v>2463670.69</v>
      </c>
      <c r="I12" s="207">
        <f>H12/H36</f>
        <v>4.4265678581002672E-2</v>
      </c>
      <c r="J12" s="208">
        <v>2407697.69</v>
      </c>
    </row>
    <row r="13" spans="1:11">
      <c r="A13" s="192" t="s">
        <v>387</v>
      </c>
      <c r="B13" s="208">
        <v>680182</v>
      </c>
      <c r="C13" s="212">
        <f>B13/B36</f>
        <v>1.1409793012818971E-2</v>
      </c>
      <c r="D13" s="208">
        <v>1783488.56</v>
      </c>
      <c r="E13" s="212">
        <f>D13/D36</f>
        <v>3.1458185468624077E-2</v>
      </c>
      <c r="F13" s="206"/>
      <c r="G13" s="207"/>
      <c r="H13" s="208"/>
      <c r="I13" s="207"/>
      <c r="J13" s="208"/>
    </row>
    <row r="14" spans="1:11">
      <c r="A14" s="192" t="s">
        <v>504</v>
      </c>
      <c r="B14" s="208">
        <v>9381470</v>
      </c>
      <c r="C14" s="212">
        <f>B14/B36</f>
        <v>0.15737057266433219</v>
      </c>
      <c r="D14" s="206">
        <v>8632432</v>
      </c>
      <c r="E14" s="212">
        <f>D14/D36</f>
        <v>0.15226374477069002</v>
      </c>
      <c r="F14" s="206">
        <v>8632432</v>
      </c>
      <c r="G14" s="207">
        <f>F14/F36</f>
        <v>0.15442284457635747</v>
      </c>
      <c r="H14" s="208">
        <f>3580640+2000000+120000+132000</f>
        <v>5832640</v>
      </c>
      <c r="I14" s="207">
        <f>H14/H36</f>
        <v>0.10479719086104784</v>
      </c>
      <c r="J14" s="208">
        <v>3208640</v>
      </c>
    </row>
    <row r="15" spans="1:11">
      <c r="A15" s="192" t="s">
        <v>505</v>
      </c>
      <c r="B15" s="208">
        <v>2932725.75</v>
      </c>
      <c r="C15" s="212">
        <f>B15/B36</f>
        <v>4.919535325966326E-2</v>
      </c>
      <c r="D15" s="206">
        <f>F15</f>
        <v>2567301</v>
      </c>
      <c r="E15" s="212">
        <f>D15/D36</f>
        <v>4.528351502954639E-2</v>
      </c>
      <c r="F15" s="206">
        <f>H15</f>
        <v>2567301</v>
      </c>
      <c r="G15" s="207">
        <f>F15/F36</f>
        <v>4.592563524435838E-2</v>
      </c>
      <c r="H15" s="208">
        <f>J15+356370</f>
        <v>2567301</v>
      </c>
      <c r="I15" s="207">
        <f>H15/H36</f>
        <v>4.6127642524613037E-2</v>
      </c>
      <c r="J15" s="208">
        <v>2210931</v>
      </c>
    </row>
    <row r="16" spans="1:11">
      <c r="A16" s="192" t="s">
        <v>21</v>
      </c>
      <c r="B16" s="208">
        <f>D16</f>
        <v>239388</v>
      </c>
      <c r="C16" s="212">
        <f>B16/B36</f>
        <v>4.0156421806997362E-3</v>
      </c>
      <c r="D16" s="206">
        <f>F16</f>
        <v>239388</v>
      </c>
      <c r="E16" s="212">
        <f>D16/D36</f>
        <v>4.2224616809221245E-3</v>
      </c>
      <c r="F16" s="206">
        <f>H16</f>
        <v>239388</v>
      </c>
      <c r="G16" s="207">
        <f>F16/F36</f>
        <v>4.2823361849181158E-3</v>
      </c>
      <c r="H16" s="208">
        <f>J16+149388</f>
        <v>239388</v>
      </c>
      <c r="I16" s="207">
        <f>H16/H36</f>
        <v>4.3011723552018504E-3</v>
      </c>
      <c r="J16" s="208">
        <v>90000</v>
      </c>
    </row>
    <row r="17" spans="1:13">
      <c r="A17" s="192" t="s">
        <v>412</v>
      </c>
      <c r="B17" s="208">
        <v>936310</v>
      </c>
      <c r="C17" s="212">
        <f>B17/B36</f>
        <v>1.5706242293728048E-2</v>
      </c>
      <c r="D17" s="206">
        <v>936310</v>
      </c>
      <c r="E17" s="212">
        <f>D17/D36</f>
        <v>1.6515168247632273E-2</v>
      </c>
      <c r="F17" s="206">
        <v>936310</v>
      </c>
      <c r="G17" s="207">
        <f>F17/F36</f>
        <v>1.6749353323059973E-2</v>
      </c>
      <c r="H17" s="208">
        <v>936310</v>
      </c>
      <c r="I17" s="207">
        <f>H17/H36</f>
        <v>1.6823026584035308E-2</v>
      </c>
      <c r="J17" s="208">
        <v>936310</v>
      </c>
    </row>
    <row r="18" spans="1:13">
      <c r="A18" s="192" t="s">
        <v>506</v>
      </c>
      <c r="B18" s="208">
        <v>1422697</v>
      </c>
      <c r="C18" s="212">
        <f>B18/B36</f>
        <v>2.386519827040191E-2</v>
      </c>
      <c r="D18" s="206">
        <v>1422697</v>
      </c>
      <c r="E18" s="212">
        <f>D18/D36</f>
        <v>2.5094338755755778E-2</v>
      </c>
      <c r="F18" s="206">
        <v>1422697</v>
      </c>
      <c r="G18" s="207">
        <f>F18/F36</f>
        <v>2.5450176463625782E-2</v>
      </c>
      <c r="H18" s="208">
        <v>1422697</v>
      </c>
      <c r="I18" s="207">
        <f>H18/H36</f>
        <v>2.5562120934335082E-2</v>
      </c>
      <c r="J18" s="208">
        <v>1288793</v>
      </c>
    </row>
    <row r="19" spans="1:13">
      <c r="A19" s="192" t="s">
        <v>167</v>
      </c>
      <c r="B19" s="208">
        <f>D19</f>
        <v>1711319</v>
      </c>
      <c r="C19" s="212">
        <f>B19/B36</f>
        <v>2.8706721978682688E-2</v>
      </c>
      <c r="D19" s="206">
        <f>F19</f>
        <v>1711319</v>
      </c>
      <c r="E19" s="212">
        <f>D19/D36</f>
        <v>3.0185217727429818E-2</v>
      </c>
      <c r="F19" s="206">
        <f>H19</f>
        <v>1711319</v>
      </c>
      <c r="G19" s="207">
        <f>F19/F36</f>
        <v>3.0613244095935823E-2</v>
      </c>
      <c r="H19" s="92">
        <f>J19+692868</f>
        <v>1711319</v>
      </c>
      <c r="I19" s="207">
        <f>H19/H36</f>
        <v>3.0747898698897502E-2</v>
      </c>
      <c r="J19" s="208">
        <v>1018451</v>
      </c>
      <c r="L19" s="92"/>
    </row>
    <row r="20" spans="1:13">
      <c r="A20" s="192" t="s">
        <v>507</v>
      </c>
      <c r="B20" s="208">
        <f>D20</f>
        <v>890231</v>
      </c>
      <c r="C20" s="212">
        <f>B20/B36</f>
        <v>1.4933284684973794E-2</v>
      </c>
      <c r="D20" s="206">
        <f>F20</f>
        <v>890231</v>
      </c>
      <c r="E20" s="212">
        <f>D20/D36</f>
        <v>1.5702400641088878E-2</v>
      </c>
      <c r="F20" s="206">
        <f>H20</f>
        <v>890231</v>
      </c>
      <c r="G20" s="207">
        <f>F20/F36</f>
        <v>1.5925060672363857E-2</v>
      </c>
      <c r="H20" s="208">
        <f>J20+51667</f>
        <v>890231</v>
      </c>
      <c r="I20" s="207">
        <f>H20/H36</f>
        <v>1.599510822156373E-2</v>
      </c>
      <c r="J20" s="208">
        <v>838564</v>
      </c>
    </row>
    <row r="21" spans="1:13">
      <c r="A21" s="192" t="s">
        <v>398</v>
      </c>
      <c r="B21" s="208">
        <v>255062</v>
      </c>
      <c r="C21" s="212">
        <f>B21/B36</f>
        <v>4.2785675384465222E-3</v>
      </c>
      <c r="D21" s="206">
        <v>255062</v>
      </c>
      <c r="E21" s="212">
        <f>D21/D36</f>
        <v>4.4989286065273068E-3</v>
      </c>
      <c r="F21" s="206">
        <v>255062</v>
      </c>
      <c r="G21" s="207">
        <f>F21/F36</f>
        <v>4.5627234113555584E-3</v>
      </c>
      <c r="H21" s="208">
        <v>255062</v>
      </c>
      <c r="I21" s="207">
        <f>H21/H36</f>
        <v>4.5827928854516283E-3</v>
      </c>
      <c r="J21" s="208">
        <v>255062</v>
      </c>
    </row>
    <row r="22" spans="1:13">
      <c r="A22" s="192" t="s">
        <v>508</v>
      </c>
      <c r="B22" s="208">
        <v>185000</v>
      </c>
      <c r="C22" s="212">
        <f>B22/B36</f>
        <v>3.1033042735201899E-3</v>
      </c>
      <c r="D22" s="206">
        <v>185000</v>
      </c>
      <c r="E22" s="212">
        <f>D22/D36</f>
        <v>3.2631352071557183E-3</v>
      </c>
      <c r="F22" s="206">
        <v>185000</v>
      </c>
      <c r="G22" s="207">
        <f>F22/F36</f>
        <v>3.3094064623533821E-3</v>
      </c>
      <c r="H22" s="208">
        <v>185000</v>
      </c>
      <c r="I22" s="207">
        <f>H22/H36</f>
        <v>3.3239631297823711E-3</v>
      </c>
      <c r="J22" s="208">
        <v>185000</v>
      </c>
    </row>
    <row r="23" spans="1:13">
      <c r="A23" s="192" t="s">
        <v>509</v>
      </c>
      <c r="B23" s="208">
        <v>5695059.9800000004</v>
      </c>
      <c r="C23" s="212">
        <f>B23/B36</f>
        <v>9.5532453912907073E-2</v>
      </c>
      <c r="D23" s="206">
        <f>F23</f>
        <v>5000940</v>
      </c>
      <c r="E23" s="212">
        <f>D23/D36</f>
        <v>8.8209423691207128E-2</v>
      </c>
      <c r="F23" s="206">
        <f>H23</f>
        <v>5000940</v>
      </c>
      <c r="G23" s="207">
        <f>F23/F36</f>
        <v>8.9460233264008232E-2</v>
      </c>
      <c r="H23" s="208">
        <f>J23+J31+1011425</f>
        <v>5000940</v>
      </c>
      <c r="I23" s="207">
        <f>H23/H36</f>
        <v>8.9853730671642443E-2</v>
      </c>
      <c r="J23" s="208">
        <v>3599515</v>
      </c>
    </row>
    <row r="24" spans="1:13">
      <c r="A24" s="192" t="s">
        <v>123</v>
      </c>
      <c r="B24" s="206">
        <v>416640</v>
      </c>
      <c r="C24" s="212">
        <f>B24/B36</f>
        <v>6.9889767163213616E-3</v>
      </c>
      <c r="D24" s="206">
        <v>416640</v>
      </c>
      <c r="E24" s="212">
        <f>D24/D36</f>
        <v>7.3489332578884244E-3</v>
      </c>
      <c r="F24" s="206">
        <v>416640</v>
      </c>
      <c r="G24" s="207">
        <f>F24/F36</f>
        <v>7.4531411268914226E-3</v>
      </c>
      <c r="H24" s="208">
        <v>416640</v>
      </c>
      <c r="I24" s="207">
        <f>H24/H36</f>
        <v>7.4859243156352824E-3</v>
      </c>
      <c r="J24" s="208">
        <v>416640</v>
      </c>
    </row>
    <row r="25" spans="1:13">
      <c r="A25" s="192" t="s">
        <v>510</v>
      </c>
      <c r="B25" s="206">
        <v>186000</v>
      </c>
      <c r="C25" s="212">
        <f>B25/B36</f>
        <v>3.1200788912148932E-3</v>
      </c>
      <c r="D25" s="206">
        <v>186000</v>
      </c>
      <c r="E25" s="212">
        <f>D25/D36</f>
        <v>3.2807737758430463E-3</v>
      </c>
      <c r="F25" s="206">
        <v>186000</v>
      </c>
      <c r="G25" s="207">
        <f>F25/F36</f>
        <v>3.3272951459336706E-3</v>
      </c>
      <c r="H25" s="208">
        <f>J25+74670</f>
        <v>180733</v>
      </c>
      <c r="I25" s="207">
        <f>H25/H36</f>
        <v>3.2472963693781476E-3</v>
      </c>
      <c r="J25" s="208">
        <v>106063</v>
      </c>
    </row>
    <row r="26" spans="1:13">
      <c r="A26" s="192" t="s">
        <v>511</v>
      </c>
      <c r="B26" s="206">
        <v>250738</v>
      </c>
      <c r="C26" s="212">
        <f>B26/B36</f>
        <v>4.2060340915346236E-3</v>
      </c>
      <c r="D26" s="206">
        <v>250738</v>
      </c>
      <c r="E26" s="212">
        <f>D26/D36</f>
        <v>4.4226594355232995E-3</v>
      </c>
      <c r="F26" s="206">
        <v>250738</v>
      </c>
      <c r="G26" s="207">
        <f>F26/F36</f>
        <v>4.4853727435543913E-3</v>
      </c>
      <c r="H26" s="208">
        <v>250738</v>
      </c>
      <c r="I26" s="207">
        <f>H26/H36</f>
        <v>4.5051019850560663E-3</v>
      </c>
      <c r="J26" s="208">
        <v>250738</v>
      </c>
    </row>
    <row r="27" spans="1:13">
      <c r="A27" s="192" t="s">
        <v>300</v>
      </c>
      <c r="B27" s="206">
        <v>84000</v>
      </c>
      <c r="C27" s="212">
        <f>B27/B36</f>
        <v>1.4090678863551132E-3</v>
      </c>
      <c r="D27" s="206">
        <v>84000</v>
      </c>
      <c r="E27" s="212">
        <f>D27/D36</f>
        <v>1.4816397697355694E-3</v>
      </c>
      <c r="F27" s="206">
        <v>84000</v>
      </c>
      <c r="G27" s="207">
        <f>F27/F36</f>
        <v>1.5026494207442383E-3</v>
      </c>
      <c r="H27" s="208">
        <v>84000</v>
      </c>
      <c r="I27" s="207">
        <f>H27/H36</f>
        <v>1.5092589346038874E-3</v>
      </c>
      <c r="J27" s="210">
        <v>84000</v>
      </c>
    </row>
    <row r="28" spans="1:13">
      <c r="A28" s="192" t="s">
        <v>512</v>
      </c>
      <c r="B28" s="206">
        <v>339992</v>
      </c>
      <c r="C28" s="212">
        <f>B28/B36</f>
        <v>5.7032358192577095E-3</v>
      </c>
      <c r="D28" s="206">
        <v>339992</v>
      </c>
      <c r="E28" s="212">
        <f>D28/D36</f>
        <v>5.9969722451420921E-3</v>
      </c>
      <c r="F28" s="206">
        <v>339992</v>
      </c>
      <c r="G28" s="207">
        <f>F28/F36</f>
        <v>6.0820093078294652E-3</v>
      </c>
      <c r="H28" s="208">
        <f>J28+60900</f>
        <v>331590</v>
      </c>
      <c r="I28" s="207">
        <f>H28/H36</f>
        <v>5.9577996443488457E-3</v>
      </c>
      <c r="J28" s="210">
        <v>270690</v>
      </c>
    </row>
    <row r="29" spans="1:13">
      <c r="A29" s="192" t="s">
        <v>410</v>
      </c>
      <c r="B29" s="206">
        <v>160000</v>
      </c>
      <c r="C29" s="212">
        <f>B29/B36</f>
        <v>2.6839388311525967E-3</v>
      </c>
      <c r="D29" s="206">
        <f>160000</f>
        <v>160000</v>
      </c>
      <c r="E29" s="212">
        <f>D29/D36</f>
        <v>2.822170989972513E-3</v>
      </c>
      <c r="F29" s="206">
        <f>160000</f>
        <v>160000</v>
      </c>
      <c r="G29" s="207">
        <f>F29/F36</f>
        <v>2.8621893728461682E-3</v>
      </c>
      <c r="H29" s="208">
        <f>160000</f>
        <v>160000</v>
      </c>
      <c r="I29" s="207">
        <f>H29/H36</f>
        <v>2.8747789230550236E-3</v>
      </c>
      <c r="J29" s="208">
        <v>160000</v>
      </c>
      <c r="M29" s="193"/>
    </row>
    <row r="30" spans="1:13">
      <c r="A30" s="192" t="s">
        <v>84</v>
      </c>
      <c r="B30" s="206">
        <v>577044</v>
      </c>
      <c r="C30" s="212">
        <f>B30/B36</f>
        <v>9.6796924930226177E-3</v>
      </c>
      <c r="D30" s="206">
        <f>F30</f>
        <v>577044</v>
      </c>
      <c r="E30" s="212">
        <f>D30/D36</f>
        <v>1.0178230229610619E-2</v>
      </c>
      <c r="F30" s="206">
        <f>H30</f>
        <v>577044</v>
      </c>
      <c r="G30" s="207">
        <f>F30/F36</f>
        <v>1.0322557527904027E-2</v>
      </c>
      <c r="H30" s="208">
        <f>J30+226044</f>
        <v>577044</v>
      </c>
      <c r="I30" s="207">
        <f>H30/H36</f>
        <v>1.036796205547102E-2</v>
      </c>
      <c r="J30" s="208">
        <f>117000*3</f>
        <v>351000</v>
      </c>
      <c r="M30" s="193"/>
    </row>
    <row r="31" spans="1:13">
      <c r="A31" s="192" t="s">
        <v>179</v>
      </c>
      <c r="B31" s="206">
        <f>D31</f>
        <v>238767</v>
      </c>
      <c r="C31" s="212">
        <f>B31/B36</f>
        <v>4.0052251431113252E-3</v>
      </c>
      <c r="D31" s="206">
        <f>F31</f>
        <v>238767</v>
      </c>
      <c r="E31" s="212">
        <f>D31/D36</f>
        <v>4.2115081297672942E-3</v>
      </c>
      <c r="F31" s="206">
        <f>H31</f>
        <v>238767</v>
      </c>
      <c r="G31" s="207">
        <f>F31/F36</f>
        <v>4.2712273124147562E-3</v>
      </c>
      <c r="H31" s="208">
        <f>45015+193752</f>
        <v>238767</v>
      </c>
      <c r="I31" s="207">
        <f>H31/H36</f>
        <v>4.2900146195067428E-3</v>
      </c>
      <c r="J31" s="208">
        <v>390000</v>
      </c>
      <c r="M31" s="193"/>
    </row>
    <row r="32" spans="1:13">
      <c r="A32" s="192" t="s">
        <v>192</v>
      </c>
      <c r="B32" s="206">
        <v>823693</v>
      </c>
      <c r="C32" s="212">
        <f>B32/B36</f>
        <v>1.3817135172803597E-2</v>
      </c>
      <c r="D32" s="206">
        <f>F32</f>
        <v>823693</v>
      </c>
      <c r="E32" s="212">
        <f>D32/D36</f>
        <v>1.4528765557771432E-2</v>
      </c>
      <c r="F32" s="206">
        <f>H32</f>
        <v>823693</v>
      </c>
      <c r="G32" s="207">
        <f>F32/F36</f>
        <v>1.4734783444298618E-2</v>
      </c>
      <c r="H32" s="208">
        <f>J32+403693</f>
        <v>823693</v>
      </c>
      <c r="I32" s="207">
        <f>H32/H36</f>
        <v>1.479959547167476E-2</v>
      </c>
      <c r="J32" s="208">
        <v>420000</v>
      </c>
      <c r="M32" s="193"/>
    </row>
    <row r="33" spans="1:13">
      <c r="A33" s="192" t="s">
        <v>513</v>
      </c>
      <c r="B33" s="206">
        <v>336289</v>
      </c>
      <c r="C33" s="212">
        <f>B33/B36</f>
        <v>5.641119409934222E-3</v>
      </c>
      <c r="D33" s="206">
        <f>F33+130180</f>
        <v>336289</v>
      </c>
      <c r="E33" s="212">
        <f>D33/D36</f>
        <v>5.9316566252929151E-3</v>
      </c>
      <c r="F33" s="206">
        <f>H33+130180</f>
        <v>206109</v>
      </c>
      <c r="G33" s="207">
        <f>F33/F36</f>
        <v>3.687018684049693E-3</v>
      </c>
      <c r="H33" s="208">
        <v>75929</v>
      </c>
      <c r="I33" s="207">
        <f>H33/H36</f>
        <v>1.3642443053040307E-3</v>
      </c>
      <c r="J33" s="208">
        <v>0</v>
      </c>
      <c r="M33" s="193"/>
    </row>
    <row r="34" spans="1:13">
      <c r="A34" s="192" t="s">
        <v>265</v>
      </c>
      <c r="B34" s="206">
        <v>271498</v>
      </c>
      <c r="C34" s="212">
        <f>B34/B36</f>
        <v>4.5542751548766731E-3</v>
      </c>
      <c r="D34" s="206">
        <v>271498</v>
      </c>
      <c r="E34" s="212">
        <f>D34/D36</f>
        <v>4.7888361214722336E-3</v>
      </c>
      <c r="F34" s="206">
        <v>271498</v>
      </c>
      <c r="G34" s="207">
        <f>F34/F36</f>
        <v>4.8567418146811814E-3</v>
      </c>
      <c r="H34" s="208">
        <v>0</v>
      </c>
      <c r="I34" s="207">
        <f>H34/H36</f>
        <v>0</v>
      </c>
      <c r="J34" s="208">
        <v>0</v>
      </c>
      <c r="M34" s="193"/>
    </row>
    <row r="35" spans="1:13">
      <c r="A35" s="192" t="s">
        <v>514</v>
      </c>
      <c r="B35" s="206">
        <v>194000</v>
      </c>
      <c r="C35" s="212">
        <f>B35/B36</f>
        <v>3.2542758327725233E-3</v>
      </c>
      <c r="D35" s="206"/>
      <c r="E35" s="212"/>
      <c r="F35" s="206"/>
      <c r="G35" s="207"/>
      <c r="H35" s="208"/>
      <c r="I35" s="207"/>
      <c r="J35" s="208"/>
      <c r="M35" s="193"/>
    </row>
    <row r="36" spans="1:13">
      <c r="A36" s="200" t="s">
        <v>515</v>
      </c>
      <c r="B36" s="201">
        <f>SUM(B5:B35)</f>
        <v>59613877.24000001</v>
      </c>
      <c r="C36" s="202">
        <f>SUM(C5:C35)</f>
        <v>0.99999999999999989</v>
      </c>
      <c r="D36" s="208">
        <f>SUM(D5:D34)</f>
        <v>56693942.560000002</v>
      </c>
      <c r="E36" s="207">
        <f>SUM(E5:E34)</f>
        <v>1</v>
      </c>
      <c r="F36" s="208">
        <f>SUM(F5:F35)</f>
        <v>55901262.689999998</v>
      </c>
      <c r="G36" s="211">
        <f>SUM(G5:G35)</f>
        <v>1</v>
      </c>
      <c r="H36" s="208">
        <f>SUM(H5:H35)</f>
        <v>55656453.689999998</v>
      </c>
      <c r="I36" s="211">
        <f>SUM(I5:I35)</f>
        <v>0.99999999999999989</v>
      </c>
      <c r="J36" s="208">
        <f>SUM(J5:J35)</f>
        <v>49634133.689999998</v>
      </c>
    </row>
  </sheetData>
  <mergeCells count="6">
    <mergeCell ref="A1:J1"/>
    <mergeCell ref="A2:A3"/>
    <mergeCell ref="B2:C2"/>
    <mergeCell ref="D2:E2"/>
    <mergeCell ref="F2:G2"/>
    <mergeCell ref="H2:I2"/>
  </mergeCells>
  <pageMargins left="0.70866141732283472" right="0.70866141732283472" top="0.74803149606299213" bottom="0.74803149606299213" header="0.31496062992125984" footer="0.31496062992125984"/>
  <pageSetup scale="9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1A64-63C9-4AF9-9157-A588656F4928}">
  <dimension ref="A1:K15"/>
  <sheetViews>
    <sheetView workbookViewId="0">
      <selection activeCell="E18" sqref="E18"/>
    </sheetView>
  </sheetViews>
  <sheetFormatPr defaultColWidth="11.42578125" defaultRowHeight="15"/>
  <cols>
    <col min="1" max="1" width="3" customWidth="1"/>
    <col min="2" max="2" width="17.7109375" customWidth="1"/>
    <col min="3" max="3" width="15" customWidth="1"/>
    <col min="4" max="4" width="40.7109375" customWidth="1"/>
    <col min="5" max="5" width="21" customWidth="1"/>
    <col min="6" max="6" width="14" customWidth="1"/>
    <col min="7" max="7" width="13.28515625" customWidth="1"/>
    <col min="8" max="8" width="13.7109375" customWidth="1"/>
    <col min="9" max="9" width="9.5703125" customWidth="1"/>
  </cols>
  <sheetData>
    <row r="1" spans="1:11" s="1" customFormat="1" ht="22.5">
      <c r="A1" s="64"/>
      <c r="B1" s="274" t="s">
        <v>0</v>
      </c>
      <c r="C1" s="274"/>
      <c r="D1" s="274"/>
      <c r="E1" s="274"/>
      <c r="F1" s="274"/>
      <c r="G1" s="274"/>
      <c r="H1" s="274"/>
      <c r="I1" s="274"/>
      <c r="J1" s="64"/>
      <c r="K1" s="64"/>
    </row>
    <row r="2" spans="1:11" s="1" customFormat="1" ht="15.75" customHeight="1">
      <c r="A2" s="64"/>
      <c r="B2" s="252" t="s">
        <v>516</v>
      </c>
      <c r="C2" s="252"/>
      <c r="D2" s="252"/>
      <c r="E2" s="252"/>
      <c r="F2" s="252"/>
      <c r="G2" s="252"/>
      <c r="H2" s="252"/>
      <c r="I2" s="252"/>
      <c r="J2" s="64"/>
      <c r="K2" s="64"/>
    </row>
    <row r="3" spans="1:11" s="86" customFormat="1" ht="27" customHeight="1">
      <c r="A3" s="85"/>
      <c r="B3" s="194" t="s">
        <v>2</v>
      </c>
      <c r="C3" s="27" t="s">
        <v>434</v>
      </c>
      <c r="D3" s="27" t="s">
        <v>4</v>
      </c>
      <c r="E3" s="27" t="s">
        <v>517</v>
      </c>
      <c r="F3" s="27" t="s">
        <v>435</v>
      </c>
      <c r="G3" s="27" t="s">
        <v>437</v>
      </c>
      <c r="H3" s="27" t="s">
        <v>438</v>
      </c>
      <c r="I3" s="27" t="s">
        <v>9</v>
      </c>
    </row>
    <row r="4" spans="1:11" s="16" customFormat="1" ht="14.25" customHeight="1">
      <c r="A4" s="195"/>
      <c r="B4" s="287"/>
      <c r="C4" s="287"/>
      <c r="D4" s="287"/>
      <c r="E4" s="287"/>
      <c r="F4" s="287"/>
      <c r="G4" s="287"/>
      <c r="H4" s="287"/>
      <c r="I4" s="287"/>
      <c r="J4" s="64"/>
      <c r="K4" s="64"/>
    </row>
    <row r="5" spans="1:11" s="18" customFormat="1" ht="14.25">
      <c r="A5" s="15">
        <v>1</v>
      </c>
      <c r="B5" s="9" t="s">
        <v>18</v>
      </c>
      <c r="C5" s="9" t="s">
        <v>518</v>
      </c>
      <c r="D5" s="9" t="s">
        <v>64</v>
      </c>
      <c r="E5" s="68"/>
      <c r="F5" s="2" t="s">
        <v>519</v>
      </c>
      <c r="G5" s="4">
        <f>H5/10.764</f>
        <v>12094.017094017096</v>
      </c>
      <c r="H5" s="4">
        <v>130180</v>
      </c>
      <c r="I5" s="196">
        <v>2018</v>
      </c>
      <c r="J5" s="88"/>
      <c r="K5" s="89"/>
    </row>
    <row r="6" spans="1:11" s="18" customFormat="1" ht="13.5">
      <c r="A6" s="15">
        <v>2</v>
      </c>
      <c r="B6" s="3" t="s">
        <v>18</v>
      </c>
      <c r="C6" s="93" t="s">
        <v>518</v>
      </c>
      <c r="D6" s="7" t="s">
        <v>520</v>
      </c>
      <c r="E6" s="3"/>
      <c r="F6" s="2" t="s">
        <v>521</v>
      </c>
      <c r="G6" s="4">
        <v>14901</v>
      </c>
      <c r="H6" s="4">
        <f>G6*10.764</f>
        <v>160394.364</v>
      </c>
      <c r="I6" s="196">
        <v>2018</v>
      </c>
      <c r="J6" s="88"/>
      <c r="K6" s="89"/>
    </row>
    <row r="7" spans="1:11" s="18" customFormat="1" ht="13.5">
      <c r="A7" s="15">
        <v>3</v>
      </c>
      <c r="B7" s="5" t="s">
        <v>18</v>
      </c>
      <c r="C7" s="9" t="s">
        <v>518</v>
      </c>
      <c r="D7" s="9" t="s">
        <v>520</v>
      </c>
      <c r="E7" s="6"/>
      <c r="F7" s="10" t="s">
        <v>522</v>
      </c>
      <c r="G7" s="6">
        <v>14901</v>
      </c>
      <c r="H7" s="6">
        <f>G7*10.764</f>
        <v>160394.364</v>
      </c>
      <c r="I7" s="196">
        <v>2018</v>
      </c>
    </row>
    <row r="8" spans="1:11" s="18" customFormat="1" ht="13.5">
      <c r="A8" s="15">
        <v>4</v>
      </c>
      <c r="B8" s="5" t="s">
        <v>18</v>
      </c>
      <c r="C8" s="9" t="s">
        <v>518</v>
      </c>
      <c r="D8" s="9" t="s">
        <v>520</v>
      </c>
      <c r="E8" s="6"/>
      <c r="F8" s="10" t="s">
        <v>523</v>
      </c>
      <c r="G8" s="6">
        <v>3295</v>
      </c>
      <c r="H8" s="6">
        <f>G8*10.764</f>
        <v>35467.379999999997</v>
      </c>
      <c r="I8" s="196">
        <v>2018</v>
      </c>
    </row>
    <row r="9" spans="1:11" s="18" customFormat="1" ht="13.5">
      <c r="A9" s="15">
        <v>5</v>
      </c>
      <c r="B9" s="5" t="s">
        <v>18</v>
      </c>
      <c r="C9" s="9" t="s">
        <v>518</v>
      </c>
      <c r="D9" s="9" t="s">
        <v>520</v>
      </c>
      <c r="E9" s="6"/>
      <c r="F9" s="10" t="s">
        <v>524</v>
      </c>
      <c r="G9" s="6">
        <v>10443</v>
      </c>
      <c r="H9" s="6">
        <f>G9*10.764</f>
        <v>112408.45199999999</v>
      </c>
      <c r="I9" s="196">
        <v>2018</v>
      </c>
    </row>
    <row r="10" spans="1:11" s="18" customFormat="1" ht="13.5">
      <c r="A10" s="15">
        <v>6</v>
      </c>
      <c r="B10" s="5" t="s">
        <v>186</v>
      </c>
      <c r="C10" s="9" t="s">
        <v>317</v>
      </c>
      <c r="D10" s="9" t="s">
        <v>386</v>
      </c>
      <c r="E10" s="6"/>
      <c r="F10" s="10" t="s">
        <v>381</v>
      </c>
      <c r="G10" s="6">
        <f>H10/10.764</f>
        <v>6503.1586770717213</v>
      </c>
      <c r="H10" s="6">
        <v>70000</v>
      </c>
      <c r="I10" s="19">
        <v>2018</v>
      </c>
    </row>
    <row r="11" spans="1:11" s="18" customFormat="1" ht="27">
      <c r="A11" s="15">
        <v>7</v>
      </c>
      <c r="B11" s="54" t="s">
        <v>525</v>
      </c>
      <c r="C11" s="9" t="s">
        <v>153</v>
      </c>
      <c r="D11" s="9" t="s">
        <v>526</v>
      </c>
      <c r="E11" s="6" t="s">
        <v>527</v>
      </c>
      <c r="F11" s="10"/>
      <c r="G11" s="6"/>
      <c r="H11" s="6"/>
      <c r="I11" s="19">
        <v>2018</v>
      </c>
    </row>
    <row r="12" spans="1:11" s="18" customFormat="1" ht="13.5">
      <c r="A12" s="15">
        <v>8</v>
      </c>
      <c r="B12" s="5" t="s">
        <v>254</v>
      </c>
      <c r="C12" s="9" t="s">
        <v>479</v>
      </c>
      <c r="D12" s="9" t="s">
        <v>528</v>
      </c>
      <c r="E12" s="6" t="s">
        <v>529</v>
      </c>
      <c r="F12" s="10"/>
      <c r="G12" s="6"/>
      <c r="H12" s="6"/>
      <c r="I12" s="19">
        <v>2018</v>
      </c>
    </row>
    <row r="13" spans="1:11" s="18" customFormat="1" ht="13.5">
      <c r="A13" s="15">
        <v>9</v>
      </c>
      <c r="B13" s="5" t="s">
        <v>18</v>
      </c>
      <c r="C13" s="9" t="s">
        <v>317</v>
      </c>
      <c r="D13" s="9" t="s">
        <v>319</v>
      </c>
      <c r="E13" s="6" t="s">
        <v>530</v>
      </c>
      <c r="F13" s="10"/>
      <c r="G13" s="6"/>
      <c r="H13" s="6"/>
      <c r="I13" s="19">
        <v>2018</v>
      </c>
    </row>
    <row r="14" spans="1:11" s="18" customFormat="1" ht="13.5">
      <c r="A14" s="15">
        <v>10</v>
      </c>
      <c r="B14" s="5" t="s">
        <v>18</v>
      </c>
      <c r="C14" s="9" t="s">
        <v>531</v>
      </c>
      <c r="D14" s="9" t="s">
        <v>532</v>
      </c>
      <c r="E14" s="6"/>
      <c r="F14" s="10" t="s">
        <v>381</v>
      </c>
      <c r="G14" s="6">
        <f>H14/10.764</f>
        <v>11148.272017837236</v>
      </c>
      <c r="H14" s="6">
        <v>120000</v>
      </c>
      <c r="I14" s="19">
        <v>2019</v>
      </c>
    </row>
    <row r="15" spans="1:11" s="91" customFormat="1" ht="18">
      <c r="A15" s="203"/>
      <c r="B15" s="178"/>
      <c r="C15" s="178"/>
      <c r="D15" s="179"/>
      <c r="E15" s="180"/>
      <c r="F15" s="179" t="s">
        <v>304</v>
      </c>
      <c r="G15" s="180">
        <f>SUM(G5:G14)</f>
        <v>73285.447788926045</v>
      </c>
      <c r="H15" s="180">
        <f>SUM(H5:H14)</f>
        <v>788844.56</v>
      </c>
      <c r="I15" s="181"/>
      <c r="J15" s="90"/>
      <c r="K15" s="90"/>
    </row>
  </sheetData>
  <mergeCells count="3">
    <mergeCell ref="B1:I1"/>
    <mergeCell ref="B2:I2"/>
    <mergeCell ref="B4:I4"/>
  </mergeCell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D6A72E992D114C81A6EC0B8C99BA69" ma:contentTypeVersion="15" ma:contentTypeDescription="Crear nuevo documento." ma:contentTypeScope="" ma:versionID="09ee94784c981be3323ac3fbeddfff7d">
  <xsd:schema xmlns:xsd="http://www.w3.org/2001/XMLSchema" xmlns:xs="http://www.w3.org/2001/XMLSchema" xmlns:p="http://schemas.microsoft.com/office/2006/metadata/properties" xmlns:ns2="3edea6fe-52b8-4667-bb86-b2155c8c67e6" xmlns:ns3="7952995f-2f24-4935-944c-2e29180cf736" xmlns:ns4="16b13a6f-7497-445e-a153-7e63321f2fc2" targetNamespace="http://schemas.microsoft.com/office/2006/metadata/properties" ma:root="true" ma:fieldsID="5021330a093b1c5a1c61cacae0c5fad1" ns2:_="" ns3:_="" ns4:_="">
    <xsd:import namespace="3edea6fe-52b8-4667-bb86-b2155c8c67e6"/>
    <xsd:import namespace="7952995f-2f24-4935-944c-2e29180cf736"/>
    <xsd:import namespace="16b13a6f-7497-445e-a153-7e63321f2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ea6fe-52b8-4667-bb86-b2155c8c6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c01750-6c40-40dc-ac3d-8fd2a3d7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2995f-2f24-4935-944c-2e29180cf73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59de30-0ff1-469a-a8f1-5b30aa49166a}" ma:internalName="TaxCatchAll" ma:showField="CatchAllData" ma:web="7952995f-2f24-4935-944c-2e29180cf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13a6f-7497-445e-a153-7e63321f2fc2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ea6fe-52b8-4667-bb86-b2155c8c67e6">
      <Terms xmlns="http://schemas.microsoft.com/office/infopath/2007/PartnerControls"/>
    </lcf76f155ced4ddcb4097134ff3c332f>
    <TaxCatchAll xmlns="7952995f-2f24-4935-944c-2e29180cf736" xsi:nil="true"/>
  </documentManagement>
</p:properties>
</file>

<file path=customXml/itemProps1.xml><?xml version="1.0" encoding="utf-8"?>
<ds:datastoreItem xmlns:ds="http://schemas.openxmlformats.org/officeDocument/2006/customXml" ds:itemID="{BFE9B626-6956-4FAC-A487-B5C04BFD74B7}"/>
</file>

<file path=customXml/itemProps2.xml><?xml version="1.0" encoding="utf-8"?>
<ds:datastoreItem xmlns:ds="http://schemas.openxmlformats.org/officeDocument/2006/customXml" ds:itemID="{C0744AC5-2B58-40E0-9F7E-93EAA88ED5ED}"/>
</file>

<file path=customXml/itemProps3.xml><?xml version="1.0" encoding="utf-8"?>
<ds:datastoreItem xmlns:ds="http://schemas.openxmlformats.org/officeDocument/2006/customXml" ds:itemID="{1617A95E-9334-4581-BEEE-1F1D2A351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Alejandra Enríquez Guajardo</dc:creator>
  <cp:keywords/>
  <dc:description/>
  <cp:lastModifiedBy>Alejandra Enríquez Guajardo</cp:lastModifiedBy>
  <cp:revision/>
  <dcterms:created xsi:type="dcterms:W3CDTF">2017-02-14T00:54:03Z</dcterms:created>
  <dcterms:modified xsi:type="dcterms:W3CDTF">2024-04-08T23:29:33Z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0x010100F6D6A72E992D114C81A6EC0B8C99BA69</vt:lpwstr>
  </property>
  <property fmtid="{D5CDD505-2E9C-101B-9397-08002B2CF9AE}" pid="3" name="MediaServiceImageTags">
    <vt:lpwstr/>
  </property>
</Properties>
</file>