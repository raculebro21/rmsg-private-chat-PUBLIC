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barraza\Downloads\"/>
    </mc:Choice>
  </mc:AlternateContent>
  <xr:revisionPtr revIDLastSave="0" documentId="13_ncr:1_{CC32C39D-21E7-4A7B-868C-997DABD939B4}" xr6:coauthVersionLast="47" xr6:coauthVersionMax="47" xr10:uidLastSave="{00000000-0000-0000-0000-000000000000}"/>
  <bookViews>
    <workbookView xWindow="-98" yWindow="-98" windowWidth="21795" windowHeight="13875" xr2:uid="{F63D63A3-C3F9-422B-B0B0-119FB5C22E0B}"/>
  </bookViews>
  <sheets>
    <sheet name="DONE DEALS" sheetId="8" r:id="rId1"/>
    <sheet name="AVAILABLE" sheetId="2" r:id="rId2"/>
    <sheet name="UNDERCONSTRUCTION" sheetId="3" r:id="rId3"/>
    <sheet name="PRIVATE OWNERS" sheetId="4" r:id="rId4"/>
    <sheet name="LAND" sheetId="5" r:id="rId5"/>
    <sheet name="MARKET SHARE" sheetId="6" r:id="rId6"/>
    <sheet name="PROYECTOS FUTUROS" sheetId="7" r:id="rId7"/>
    <sheet name="COSTO KVAS" sheetId="10" r:id="rId8"/>
    <sheet name="FORMATO MENSUAL" sheetId="11" r:id="rId9"/>
  </sheets>
  <definedNames>
    <definedName name="_xlnm._FilterDatabase" localSheetId="1" hidden="1">AVAILABLE!$A$4:$K$57</definedName>
    <definedName name="_xlnm._FilterDatabase" localSheetId="0" hidden="1">'DONE DEALS'!$A$4:$T$131</definedName>
    <definedName name="_xlnm._FilterDatabase" localSheetId="2" hidden="1">UNDERCONSTRUCTION!$A$4:$O$27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8" l="1"/>
  <c r="H96" i="8"/>
  <c r="H109" i="8"/>
  <c r="H127" i="8"/>
  <c r="I54" i="3"/>
  <c r="H54" i="3"/>
  <c r="G54" i="3"/>
  <c r="I50" i="3"/>
  <c r="H50" i="3"/>
  <c r="G50" i="3"/>
  <c r="I41" i="3"/>
  <c r="H41" i="3"/>
  <c r="G41" i="3"/>
  <c r="G37" i="3"/>
  <c r="G31" i="3"/>
  <c r="H28" i="3"/>
  <c r="H55" i="3" s="1"/>
  <c r="G28" i="3"/>
  <c r="G55" i="3" s="1"/>
  <c r="I25" i="3"/>
  <c r="H25" i="3"/>
  <c r="I28" i="3"/>
  <c r="I55" i="3" s="1"/>
  <c r="I53" i="2"/>
  <c r="I49" i="2"/>
  <c r="I30" i="2"/>
  <c r="H80" i="8"/>
  <c r="G18" i="2"/>
  <c r="G19" i="2"/>
  <c r="F6" i="2"/>
  <c r="F19" i="2"/>
  <c r="F7" i="2"/>
  <c r="F18" i="2"/>
  <c r="G8" i="3"/>
  <c r="G9" i="3"/>
  <c r="H17" i="3"/>
  <c r="G20" i="11"/>
  <c r="H20" i="11" s="1"/>
  <c r="G11" i="11"/>
  <c r="F11" i="11"/>
  <c r="G3" i="11"/>
  <c r="F15" i="2"/>
  <c r="H23" i="8"/>
  <c r="H55" i="8" s="1"/>
  <c r="F25" i="2"/>
  <c r="F26" i="2"/>
  <c r="F27" i="2"/>
  <c r="G24" i="2"/>
  <c r="F24" i="2" s="1"/>
  <c r="G25" i="2"/>
  <c r="G116" i="8"/>
  <c r="G64" i="8"/>
  <c r="G39" i="8"/>
  <c r="G31" i="4"/>
  <c r="G125" i="8"/>
  <c r="G117" i="8"/>
  <c r="G119" i="8"/>
  <c r="G118" i="8"/>
  <c r="G114" i="8"/>
  <c r="G86" i="8"/>
  <c r="H36" i="2"/>
  <c r="I36" i="2" s="1"/>
  <c r="H35" i="2"/>
  <c r="I35" i="2" s="1"/>
  <c r="I39" i="2" s="1"/>
  <c r="G47" i="3"/>
  <c r="G46" i="3"/>
  <c r="G22" i="3"/>
  <c r="I17" i="3"/>
  <c r="I18" i="3" s="1"/>
  <c r="G10" i="3"/>
  <c r="G52" i="3"/>
  <c r="H7" i="4"/>
  <c r="H6" i="4"/>
  <c r="I23" i="4"/>
  <c r="I22" i="4"/>
  <c r="I31" i="4" s="1"/>
  <c r="H19" i="4"/>
  <c r="H15" i="4"/>
  <c r="H12" i="4"/>
  <c r="G79" i="8"/>
  <c r="L50" i="8"/>
  <c r="L51" i="8"/>
  <c r="L52" i="8"/>
  <c r="L53" i="8"/>
  <c r="L54" i="8"/>
  <c r="L49" i="8"/>
  <c r="G15" i="3"/>
  <c r="G15" i="8"/>
  <c r="G20" i="3"/>
  <c r="H49" i="3"/>
  <c r="I36" i="3"/>
  <c r="I37" i="3" s="1"/>
  <c r="I31" i="3"/>
  <c r="I20" i="2"/>
  <c r="I22" i="2" s="1"/>
  <c r="H20" i="2"/>
  <c r="G106" i="8"/>
  <c r="G98" i="8"/>
  <c r="G102" i="8"/>
  <c r="G99" i="8"/>
  <c r="G108" i="8"/>
  <c r="G107" i="8"/>
  <c r="G87" i="8"/>
  <c r="G93" i="8"/>
  <c r="G89" i="8"/>
  <c r="G95" i="8"/>
  <c r="G94" i="8"/>
  <c r="G69" i="8"/>
  <c r="G68" i="8"/>
  <c r="G59" i="8"/>
  <c r="G58" i="8"/>
  <c r="G57" i="8"/>
  <c r="G70" i="8"/>
  <c r="G66" i="8"/>
  <c r="G67" i="8"/>
  <c r="G65" i="8"/>
  <c r="G12" i="8"/>
  <c r="G6" i="8"/>
  <c r="G27" i="8"/>
  <c r="G22" i="8"/>
  <c r="G18" i="8"/>
  <c r="G40" i="8"/>
  <c r="G14" i="8"/>
  <c r="G10" i="8"/>
  <c r="G9" i="8"/>
  <c r="G8" i="8"/>
  <c r="G7" i="8"/>
  <c r="G6" i="3"/>
  <c r="F12" i="2"/>
  <c r="F16" i="2"/>
  <c r="G16" i="3"/>
  <c r="G12" i="3"/>
  <c r="G11" i="3"/>
  <c r="G7" i="3"/>
  <c r="G48" i="3"/>
  <c r="H37" i="3"/>
  <c r="H31" i="3"/>
  <c r="I33" i="2"/>
  <c r="G51" i="2"/>
  <c r="G52" i="2"/>
  <c r="F51" i="2"/>
  <c r="F52" i="2"/>
  <c r="G29" i="2"/>
  <c r="F29" i="2"/>
  <c r="G38" i="2"/>
  <c r="F38" i="2"/>
  <c r="F21" i="2"/>
  <c r="G34" i="8"/>
  <c r="G42" i="8"/>
  <c r="G54" i="8"/>
  <c r="G26" i="8"/>
  <c r="G38" i="8"/>
  <c r="G25" i="8"/>
  <c r="G53" i="8"/>
  <c r="G52" i="8"/>
  <c r="G51" i="8"/>
  <c r="G45" i="3"/>
  <c r="G44" i="3"/>
  <c r="G43" i="3"/>
  <c r="G53" i="3"/>
  <c r="G20" i="8"/>
  <c r="G63" i="8"/>
  <c r="G50" i="8"/>
  <c r="G49" i="8"/>
  <c r="G37" i="8"/>
  <c r="G73" i="8"/>
  <c r="G104" i="8"/>
  <c r="G105" i="8"/>
  <c r="G100" i="8"/>
  <c r="H13" i="4"/>
  <c r="H14" i="4"/>
  <c r="H16" i="4"/>
  <c r="H17" i="4"/>
  <c r="H18" i="4"/>
  <c r="H20" i="4"/>
  <c r="H11" i="4"/>
  <c r="H31" i="4" s="1"/>
  <c r="G124" i="8"/>
  <c r="G126" i="8"/>
  <c r="G82" i="8"/>
  <c r="G83" i="8"/>
  <c r="G84" i="8"/>
  <c r="G85" i="8"/>
  <c r="G88" i="8"/>
  <c r="G90" i="8"/>
  <c r="G91" i="8"/>
  <c r="G92" i="8"/>
  <c r="H77" i="8"/>
  <c r="G48" i="8"/>
  <c r="G123" i="8"/>
  <c r="G14" i="3"/>
  <c r="G71" i="8"/>
  <c r="G72" i="8"/>
  <c r="G96" i="8" l="1"/>
  <c r="I49" i="3"/>
  <c r="H6" i="3"/>
  <c r="H18" i="3" s="1"/>
  <c r="F9" i="2" l="1"/>
  <c r="G24" i="3"/>
  <c r="G23" i="3"/>
  <c r="G30" i="3"/>
  <c r="G115" i="8" l="1"/>
  <c r="G121" i="8" l="1"/>
  <c r="G62" i="8"/>
  <c r="G103" i="8" l="1"/>
  <c r="G47" i="8"/>
  <c r="G46" i="8"/>
  <c r="G45" i="8"/>
  <c r="G33" i="8" l="1"/>
  <c r="G61" i="8"/>
  <c r="G76" i="8"/>
  <c r="G77" i="8" s="1"/>
  <c r="G21" i="3"/>
  <c r="G25" i="3" s="1"/>
  <c r="G36" i="8" l="1"/>
  <c r="G39" i="3" l="1"/>
  <c r="G13" i="8"/>
  <c r="G32" i="8"/>
  <c r="G31" i="8"/>
  <c r="G30" i="8"/>
  <c r="G17" i="8" l="1"/>
  <c r="G122" i="8" l="1"/>
  <c r="G29" i="8"/>
  <c r="G35" i="8"/>
  <c r="G21" i="8" l="1"/>
  <c r="G43" i="8"/>
  <c r="G41" i="8"/>
  <c r="G16" i="8"/>
  <c r="G101" i="8" l="1"/>
  <c r="G109" i="8" s="1"/>
  <c r="H11" i="7" l="1"/>
  <c r="G7" i="7"/>
  <c r="G24" i="8"/>
  <c r="G60" i="8"/>
  <c r="G74" i="8" s="1"/>
  <c r="G36" i="3"/>
  <c r="G28" i="8"/>
  <c r="G44" i="8"/>
  <c r="G120" i="8"/>
  <c r="G127" i="8" s="1"/>
  <c r="G11" i="8"/>
  <c r="G6" i="7" l="1"/>
  <c r="G5" i="7"/>
  <c r="G11" i="7" s="1"/>
  <c r="G19" i="8"/>
  <c r="G55" i="8" s="1"/>
  <c r="F48" i="2" l="1"/>
  <c r="G48" i="2"/>
  <c r="G80" i="8" l="1"/>
  <c r="G112" i="8"/>
  <c r="H112" i="8"/>
  <c r="G130" i="8"/>
  <c r="H130" i="8"/>
  <c r="H131" i="8" l="1"/>
  <c r="G131" i="8"/>
  <c r="I56" i="2"/>
  <c r="G13" i="3" l="1"/>
  <c r="G18" i="3" s="1"/>
  <c r="G28" i="2" l="1"/>
  <c r="F28" i="2"/>
  <c r="F37" i="2" l="1"/>
  <c r="G37" i="2"/>
  <c r="F11" i="2" l="1"/>
  <c r="B43" i="6" l="1"/>
  <c r="C6" i="6" s="1"/>
  <c r="C36" i="6" l="1"/>
  <c r="C9" i="6"/>
  <c r="C23" i="6"/>
  <c r="C10" i="6"/>
  <c r="C14" i="6"/>
  <c r="C15" i="6"/>
  <c r="C38" i="6"/>
  <c r="C37" i="6"/>
  <c r="C12" i="6"/>
  <c r="C42" i="6"/>
  <c r="C34" i="6"/>
  <c r="C33" i="6"/>
  <c r="C35" i="6"/>
  <c r="C7" i="6"/>
  <c r="C5" i="6"/>
  <c r="C8" i="6"/>
  <c r="C21" i="6"/>
  <c r="C26" i="6"/>
  <c r="C41" i="6"/>
  <c r="C27" i="6"/>
  <c r="C40" i="6"/>
  <c r="C17" i="6"/>
  <c r="C31" i="6"/>
  <c r="C30" i="6"/>
  <c r="C28" i="6"/>
  <c r="C16" i="6"/>
  <c r="C13" i="6"/>
  <c r="C18" i="6"/>
  <c r="C19" i="6"/>
  <c r="C20" i="6"/>
  <c r="C22" i="6"/>
  <c r="C24" i="6"/>
  <c r="C25" i="6"/>
  <c r="C32" i="6"/>
  <c r="C11" i="6"/>
  <c r="C29" i="6"/>
  <c r="C39" i="6"/>
  <c r="C43" i="6" l="1"/>
  <c r="F14" i="2" l="1"/>
  <c r="F13" i="2"/>
  <c r="G32" i="2" l="1"/>
  <c r="F32" i="2"/>
  <c r="I45" i="2" l="1"/>
  <c r="H34" i="3" l="1"/>
  <c r="G34" i="3"/>
  <c r="G47" i="2"/>
  <c r="F47" i="2"/>
  <c r="I42" i="2"/>
  <c r="I57" i="2" s="1"/>
  <c r="G27" i="2"/>
  <c r="G26" i="2"/>
  <c r="F10" i="2"/>
  <c r="F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Enríquez Guajardo</author>
  </authors>
  <commentList>
    <comment ref="I8" authorId="0" shapeId="0" xr:uid="{C2A22D88-C944-4B45-A657-75B3598BFC57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8,000 mts con Polytech</t>
        </r>
      </text>
    </comment>
    <comment ref="I32" authorId="0" shapeId="0" xr:uid="{344ED289-B272-433D-8020-394CB7240164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60,268 sf de IDL</t>
        </r>
      </text>
    </comment>
  </commentList>
</comments>
</file>

<file path=xl/sharedStrings.xml><?xml version="1.0" encoding="utf-8"?>
<sst xmlns="http://schemas.openxmlformats.org/spreadsheetml/2006/main" count="2286" uniqueCount="728">
  <si>
    <t>MONTERREY MARKET REPORT</t>
  </si>
  <si>
    <t>DONE DEALS 2023</t>
  </si>
  <si>
    <t>Submarket</t>
  </si>
  <si>
    <t>Tenant</t>
  </si>
  <si>
    <t>INDUSTRIAL PARK</t>
  </si>
  <si>
    <t>Owner</t>
  </si>
  <si>
    <t>Builder</t>
  </si>
  <si>
    <t>S.M.</t>
  </si>
  <si>
    <t>S.F.</t>
  </si>
  <si>
    <t>BTS/ INVENTORY</t>
  </si>
  <si>
    <t>CLOSING QUARTER</t>
  </si>
  <si>
    <t>BROKER</t>
  </si>
  <si>
    <t>Term</t>
  </si>
  <si>
    <t>Industry</t>
  </si>
  <si>
    <t>Final Use</t>
  </si>
  <si>
    <t>kVA´s</t>
  </si>
  <si>
    <t>Extra Information</t>
  </si>
  <si>
    <t>Country</t>
  </si>
  <si>
    <t>Asking price range</t>
  </si>
  <si>
    <t>Currency</t>
  </si>
  <si>
    <t>CLASS</t>
  </si>
  <si>
    <t>APODACA</t>
  </si>
  <si>
    <t>Apodaca</t>
  </si>
  <si>
    <t>SpeedTech</t>
  </si>
  <si>
    <t>AI Apodaca II</t>
  </si>
  <si>
    <t>American Industries</t>
  </si>
  <si>
    <t>Maiz Mier</t>
  </si>
  <si>
    <t>AI Building II</t>
  </si>
  <si>
    <t>Q3</t>
  </si>
  <si>
    <t>Citius AG</t>
  </si>
  <si>
    <t>Electric &amp; Electronics</t>
  </si>
  <si>
    <t>Manufacturing</t>
  </si>
  <si>
    <t>Taiwan</t>
  </si>
  <si>
    <t>USD</t>
  </si>
  <si>
    <t>A</t>
  </si>
  <si>
    <t>OTR Wheel Engineering Inc</t>
  </si>
  <si>
    <t>Avante Apodaca</t>
  </si>
  <si>
    <t>Avante</t>
  </si>
  <si>
    <t>NA</t>
  </si>
  <si>
    <t>A09-B</t>
  </si>
  <si>
    <t>Q4</t>
  </si>
  <si>
    <t>Colliers</t>
  </si>
  <si>
    <t>Automotive</t>
  </si>
  <si>
    <t>New</t>
  </si>
  <si>
    <t>USA</t>
  </si>
  <si>
    <t>AFL Telecom</t>
  </si>
  <si>
    <t>Milenium Apdaca</t>
  </si>
  <si>
    <t>Coexsa</t>
  </si>
  <si>
    <t>BTS Expansion</t>
  </si>
  <si>
    <t>Direct</t>
  </si>
  <si>
    <t>Japan</t>
  </si>
  <si>
    <t>BUT</t>
  </si>
  <si>
    <t>Milenium Apodaca</t>
  </si>
  <si>
    <t>MAN 10</t>
  </si>
  <si>
    <t>Q2</t>
  </si>
  <si>
    <t>CBRE (Intermex)</t>
  </si>
  <si>
    <t>Construction</t>
  </si>
  <si>
    <t>China</t>
  </si>
  <si>
    <t>Rosenberger</t>
  </si>
  <si>
    <t>Milenium Innova</t>
  </si>
  <si>
    <t>BTS</t>
  </si>
  <si>
    <t>Germany</t>
  </si>
  <si>
    <t>$0.55-$0.59</t>
  </si>
  <si>
    <t>DSV</t>
  </si>
  <si>
    <t>Apodaca Technology Park</t>
  </si>
  <si>
    <t>CPA</t>
  </si>
  <si>
    <t>Tensa</t>
  </si>
  <si>
    <t>Q1</t>
  </si>
  <si>
    <t>Logistic</t>
  </si>
  <si>
    <t>Expansion</t>
  </si>
  <si>
    <t>Denmark</t>
  </si>
  <si>
    <t>Lear</t>
  </si>
  <si>
    <t>Nexxus Apodaca</t>
  </si>
  <si>
    <t>FUNO</t>
  </si>
  <si>
    <t>Nexxus</t>
  </si>
  <si>
    <t>Finsa I</t>
  </si>
  <si>
    <t>$0.55-$0.60</t>
  </si>
  <si>
    <t>KET Electric</t>
  </si>
  <si>
    <t>Agua Fría Park</t>
  </si>
  <si>
    <t>G Industrial</t>
  </si>
  <si>
    <t>Spec Alliuz</t>
  </si>
  <si>
    <t>Neq</t>
  </si>
  <si>
    <t>Korea</t>
  </si>
  <si>
    <t>Zoncen</t>
  </si>
  <si>
    <t>GDS Business Park</t>
  </si>
  <si>
    <t>GDS</t>
  </si>
  <si>
    <t>GDS 2 Mod 2</t>
  </si>
  <si>
    <t>Select RS</t>
  </si>
  <si>
    <t>$0.54-$0.58</t>
  </si>
  <si>
    <t>H &amp; T</t>
  </si>
  <si>
    <t>Pocket Park Aeropuerto</t>
  </si>
  <si>
    <t>GP Desarrollos</t>
  </si>
  <si>
    <t>Garza Ponce</t>
  </si>
  <si>
    <t>MT02 Aeropuerto</t>
  </si>
  <si>
    <t>Nova Realty</t>
  </si>
  <si>
    <t>$0.55-$0.58</t>
  </si>
  <si>
    <t>GEPP (Pepsi)</t>
  </si>
  <si>
    <t>Parque Industrial Monterrey</t>
  </si>
  <si>
    <t>MT01 Pimsa</t>
  </si>
  <si>
    <t>CBRE</t>
  </si>
  <si>
    <t>Mexico</t>
  </si>
  <si>
    <t>MXP</t>
  </si>
  <si>
    <t>Prolec</t>
  </si>
  <si>
    <t>Kronos Industrial Park</t>
  </si>
  <si>
    <t>MT02 Kronos</t>
  </si>
  <si>
    <t>Directo</t>
  </si>
  <si>
    <t>LCE</t>
  </si>
  <si>
    <t>Huinala</t>
  </si>
  <si>
    <t>IJL</t>
  </si>
  <si>
    <t>Bilden</t>
  </si>
  <si>
    <t>Huinala VI</t>
  </si>
  <si>
    <t>$0.52-$0.55</t>
  </si>
  <si>
    <t>B</t>
  </si>
  <si>
    <t>LG</t>
  </si>
  <si>
    <t>Kronos</t>
  </si>
  <si>
    <t>Kronos 5</t>
  </si>
  <si>
    <t>Estate Capital</t>
  </si>
  <si>
    <t>Storage</t>
  </si>
  <si>
    <t>MAGNA</t>
  </si>
  <si>
    <t>Apodaca Park</t>
  </si>
  <si>
    <t>Macquarie</t>
  </si>
  <si>
    <t>MTY043</t>
  </si>
  <si>
    <t>Canada</t>
  </si>
  <si>
    <t>$0.58-$0.62</t>
  </si>
  <si>
    <t>Akuver</t>
  </si>
  <si>
    <t>Pecari Industrial Park</t>
  </si>
  <si>
    <t>Pecari</t>
  </si>
  <si>
    <t>Building B</t>
  </si>
  <si>
    <t>Prodensa Select</t>
  </si>
  <si>
    <t>Relocation</t>
  </si>
  <si>
    <t>Daedong</t>
  </si>
  <si>
    <t>Pecari Dulces Nombres</t>
  </si>
  <si>
    <t>Pecari B</t>
  </si>
  <si>
    <t>$0.53-$0.55</t>
  </si>
  <si>
    <t>Confidential</t>
  </si>
  <si>
    <t xml:space="preserve">Pecari Industrial Park </t>
  </si>
  <si>
    <t xml:space="preserve">Pecari </t>
  </si>
  <si>
    <t>Building C</t>
  </si>
  <si>
    <t>$7.50 m2 mantenimiento</t>
  </si>
  <si>
    <t>$6.75 m2</t>
  </si>
  <si>
    <t>Prologis Agua Fría</t>
  </si>
  <si>
    <t>Prologis</t>
  </si>
  <si>
    <t>Agua Fría 2</t>
  </si>
  <si>
    <t>CCM Hokey</t>
  </si>
  <si>
    <t>Prologis Park Apodaca East</t>
  </si>
  <si>
    <t>BTS (NOv24)</t>
  </si>
  <si>
    <t>Grupo Prodensa</t>
  </si>
  <si>
    <t>Sporting Goods</t>
  </si>
  <si>
    <t>Multi-Wing</t>
  </si>
  <si>
    <t>Prologis Park Apodaca</t>
  </si>
  <si>
    <t>PPA 8</t>
  </si>
  <si>
    <t>Sauer Compressors</t>
  </si>
  <si>
    <t>Monterrey Industrial Park</t>
  </si>
  <si>
    <t>MIC 9</t>
  </si>
  <si>
    <t>$0.63-$0.67</t>
  </si>
  <si>
    <t>Hanon Systems</t>
  </si>
  <si>
    <t>Savy Park IV</t>
  </si>
  <si>
    <t>Savy Capital</t>
  </si>
  <si>
    <t>American</t>
  </si>
  <si>
    <t>RUEF</t>
  </si>
  <si>
    <t>Savy Park I</t>
  </si>
  <si>
    <t>SPI-X</t>
  </si>
  <si>
    <t>Fernando Navarrete</t>
  </si>
  <si>
    <t>Unimacts</t>
  </si>
  <si>
    <t>SPI-XI</t>
  </si>
  <si>
    <t>JHR</t>
  </si>
  <si>
    <t>SPI-XII</t>
  </si>
  <si>
    <t>Rose Lin</t>
  </si>
  <si>
    <t>Pridgeon and Clay</t>
  </si>
  <si>
    <t>Savy Park V</t>
  </si>
  <si>
    <t>SPV-06</t>
  </si>
  <si>
    <t>Hillenbrand</t>
  </si>
  <si>
    <t>JLL</t>
  </si>
  <si>
    <t>P&amp;C</t>
  </si>
  <si>
    <t>SPV 06</t>
  </si>
  <si>
    <t>RTP</t>
  </si>
  <si>
    <t>Stiva Apodaca</t>
  </si>
  <si>
    <t>Stiva</t>
  </si>
  <si>
    <t>Transpak</t>
  </si>
  <si>
    <t>OWH3</t>
  </si>
  <si>
    <t>Newmark</t>
  </si>
  <si>
    <t>Seoyon</t>
  </si>
  <si>
    <t>Stiva Aeropuerto Industrial Park</t>
  </si>
  <si>
    <t>AE 06</t>
  </si>
  <si>
    <t>Johnson Controls</t>
  </si>
  <si>
    <t>Stiva Airport</t>
  </si>
  <si>
    <t>AE 07</t>
  </si>
  <si>
    <t>$0.58-$0.63</t>
  </si>
  <si>
    <t>Universal Electronics</t>
  </si>
  <si>
    <t>Office warehouse</t>
  </si>
  <si>
    <t>Connor Metal Stamping</t>
  </si>
  <si>
    <t>Advance Monterrey</t>
  </si>
  <si>
    <t>TCC</t>
  </si>
  <si>
    <t>Metalmechanics</t>
  </si>
  <si>
    <t>Singapore</t>
  </si>
  <si>
    <t>Polaris</t>
  </si>
  <si>
    <t>Vesta Park Apodaca</t>
  </si>
  <si>
    <t>Vesta</t>
  </si>
  <si>
    <t>Copachisa</t>
  </si>
  <si>
    <t>VPA-01</t>
  </si>
  <si>
    <t>Onilog</t>
  </si>
  <si>
    <t>VPA 04</t>
  </si>
  <si>
    <t>Supply Chain</t>
  </si>
  <si>
    <t>VPA-02</t>
  </si>
  <si>
    <t>Hoymiles</t>
  </si>
  <si>
    <t>Vynmsa Apodaca Industrial Park</t>
  </si>
  <si>
    <t>Vynmsa</t>
  </si>
  <si>
    <t>VYNMSA</t>
  </si>
  <si>
    <t>Spec C</t>
  </si>
  <si>
    <t>Electronic</t>
  </si>
  <si>
    <t>SB Logistics</t>
  </si>
  <si>
    <t>Spec H</t>
  </si>
  <si>
    <t>JDD Tech</t>
  </si>
  <si>
    <t>OMA Vynmsa Industrial Park</t>
  </si>
  <si>
    <t>Spec 11</t>
  </si>
  <si>
    <t>Wisdom</t>
  </si>
  <si>
    <t>Spec 13</t>
  </si>
  <si>
    <t>Gentherm</t>
  </si>
  <si>
    <t>Spec E</t>
  </si>
  <si>
    <t>Cushman</t>
  </si>
  <si>
    <t>Northern Tool</t>
  </si>
  <si>
    <t>VAIP Spec O</t>
  </si>
  <si>
    <t>$0.58-$0.66</t>
  </si>
  <si>
    <t>CF Moto</t>
  </si>
  <si>
    <t>VAIP Spec N</t>
  </si>
  <si>
    <t>Leili</t>
  </si>
  <si>
    <t>VAIP XII</t>
  </si>
  <si>
    <t>Pret</t>
  </si>
  <si>
    <t>VAIP Spec M</t>
  </si>
  <si>
    <t>Bromake</t>
  </si>
  <si>
    <t>VAIP Spec K</t>
  </si>
  <si>
    <t>Plastics</t>
  </si>
  <si>
    <t>IEWC</t>
  </si>
  <si>
    <t>TOTAL Apodaca</t>
  </si>
  <si>
    <t>CIENEGA DE FLORES</t>
  </si>
  <si>
    <t>Cienega de Flores</t>
  </si>
  <si>
    <t>Teco</t>
  </si>
  <si>
    <t>Stand Alone</t>
  </si>
  <si>
    <t>Atecno</t>
  </si>
  <si>
    <t>Cienega 3</t>
  </si>
  <si>
    <t>Porcelana Corona</t>
  </si>
  <si>
    <t>CREA</t>
  </si>
  <si>
    <t>Del Bravo</t>
  </si>
  <si>
    <t>Fastenal</t>
  </si>
  <si>
    <t>CPA Logistics Center ADN</t>
  </si>
  <si>
    <t>Cubic 33</t>
  </si>
  <si>
    <t>America Realty</t>
  </si>
  <si>
    <t>Oasis</t>
  </si>
  <si>
    <t>CPAADN-B014</t>
  </si>
  <si>
    <t>Tauro Bienes Raíces</t>
  </si>
  <si>
    <t>Relocation / Expansion</t>
  </si>
  <si>
    <t>True Manufacturing</t>
  </si>
  <si>
    <t>CPAADN-B005</t>
  </si>
  <si>
    <t>Binswager Mexico</t>
  </si>
  <si>
    <t>Terex</t>
  </si>
  <si>
    <t>ADN Logistic Center</t>
  </si>
  <si>
    <t>CPA ADN B006</t>
  </si>
  <si>
    <t>Confidencial</t>
  </si>
  <si>
    <t>Milenium Cienega</t>
  </si>
  <si>
    <t>BTS- New</t>
  </si>
  <si>
    <t>DHL</t>
  </si>
  <si>
    <t>Nexxus ADN II</t>
  </si>
  <si>
    <t>DHL Real Estate</t>
  </si>
  <si>
    <t>$0.48-$0.54</t>
  </si>
  <si>
    <t>Festos (Faurecia)</t>
  </si>
  <si>
    <t>Interpuerto</t>
  </si>
  <si>
    <t>Interpuerto 11</t>
  </si>
  <si>
    <t>France</t>
  </si>
  <si>
    <t>$0.57-$0.64</t>
  </si>
  <si>
    <t>XCMG</t>
  </si>
  <si>
    <t>Las Joyas</t>
  </si>
  <si>
    <t>La Joya 01</t>
  </si>
  <si>
    <t>$0.60-$0.64</t>
  </si>
  <si>
    <t>Cummins</t>
  </si>
  <si>
    <t>Nexxus ADN</t>
  </si>
  <si>
    <t>Eletile</t>
  </si>
  <si>
    <t>Furnitures</t>
  </si>
  <si>
    <t>Tuopu</t>
  </si>
  <si>
    <t>El Nacional</t>
  </si>
  <si>
    <t>Thermotk</t>
  </si>
  <si>
    <t>Fondo 5</t>
  </si>
  <si>
    <t>Diamante Cienega de Flores III</t>
  </si>
  <si>
    <t>Tredec</t>
  </si>
  <si>
    <t>Edificio 6</t>
  </si>
  <si>
    <t>direct</t>
  </si>
  <si>
    <t>Edificio 7</t>
  </si>
  <si>
    <t>Fong Chen</t>
  </si>
  <si>
    <t>MTP</t>
  </si>
  <si>
    <t>MTP VIII</t>
  </si>
  <si>
    <t>$0.49-$0.53</t>
  </si>
  <si>
    <t>TOTAL Ciénega de Flores</t>
  </si>
  <si>
    <t>MONTERREY</t>
  </si>
  <si>
    <t>Monterrey</t>
  </si>
  <si>
    <t>Avante Monterrey</t>
  </si>
  <si>
    <t>Roca Desarrollos</t>
  </si>
  <si>
    <t>MO02A</t>
  </si>
  <si>
    <t>TOTAL Monterrey</t>
  </si>
  <si>
    <t>SAN NICOLAS</t>
  </si>
  <si>
    <t>Escobedo</t>
  </si>
  <si>
    <t>Amazon</t>
  </si>
  <si>
    <t>Stiva Barragan</t>
  </si>
  <si>
    <t>BA Inv R1</t>
  </si>
  <si>
    <t>E-commerce</t>
  </si>
  <si>
    <t>TOTAL San Nicolas</t>
  </si>
  <si>
    <t>ESCOBEDO</t>
  </si>
  <si>
    <t>HEB</t>
  </si>
  <si>
    <t>Libramiento 3</t>
  </si>
  <si>
    <t>Aros</t>
  </si>
  <si>
    <t>Aros Escobedo B2</t>
  </si>
  <si>
    <t>Food &amp; Beverage</t>
  </si>
  <si>
    <t>Prova Logistico</t>
  </si>
  <si>
    <t>Aros Escobedo B3</t>
  </si>
  <si>
    <t>Sologis Escobedo</t>
  </si>
  <si>
    <t>Grupo Serna</t>
  </si>
  <si>
    <t>Sologis B</t>
  </si>
  <si>
    <t>Nara Battery Engineering</t>
  </si>
  <si>
    <t>Sologis A</t>
  </si>
  <si>
    <t>Barcel</t>
  </si>
  <si>
    <t>Pocket Park Escobedo</t>
  </si>
  <si>
    <t>Warehouse</t>
  </si>
  <si>
    <t>Ficosa</t>
  </si>
  <si>
    <t>Nexxus Escobedo Center</t>
  </si>
  <si>
    <t>Claudio Luna</t>
  </si>
  <si>
    <t>Mercado Libre</t>
  </si>
  <si>
    <t>Libramiento II</t>
  </si>
  <si>
    <t>Private Owner</t>
  </si>
  <si>
    <t>Argentina</t>
  </si>
  <si>
    <t>PiSA Farmaceutica</t>
  </si>
  <si>
    <t>Industrial Gate Escobedo</t>
  </si>
  <si>
    <t>REI</t>
  </si>
  <si>
    <t>REI IV</t>
  </si>
  <si>
    <t>CBC</t>
  </si>
  <si>
    <t>Chemical &amp; Pharmaceutical</t>
  </si>
  <si>
    <t>Logistorage</t>
  </si>
  <si>
    <t>REI 1B</t>
  </si>
  <si>
    <t>HK Tairiu Electronics</t>
  </si>
  <si>
    <t>REI 4A</t>
  </si>
  <si>
    <t>Lighting</t>
  </si>
  <si>
    <t>Vitti Logistics</t>
  </si>
  <si>
    <t>Stiva El Jaral</t>
  </si>
  <si>
    <t>JA 02</t>
  </si>
  <si>
    <t>KS Bienes Raices</t>
  </si>
  <si>
    <t>CargoQuin 3PL</t>
  </si>
  <si>
    <t>Vynmsa Escobedo Park</t>
  </si>
  <si>
    <t>VEP Spec IX</t>
  </si>
  <si>
    <t>TOTAL Escobedo</t>
  </si>
  <si>
    <t>GUADALUPE</t>
  </si>
  <si>
    <t>Guadalupe</t>
  </si>
  <si>
    <t>Hammond Power Solutions</t>
  </si>
  <si>
    <t>Parque Industrial Arende I</t>
  </si>
  <si>
    <t>Arende</t>
  </si>
  <si>
    <t>Sirsa</t>
  </si>
  <si>
    <t>Ridell</t>
  </si>
  <si>
    <t>A1 Nave Norte</t>
  </si>
  <si>
    <t>Sports Equipment</t>
  </si>
  <si>
    <t>Risever</t>
  </si>
  <si>
    <t>Areya Guadalupe Industrial Park</t>
  </si>
  <si>
    <t>Areya</t>
  </si>
  <si>
    <t>AG02-A</t>
  </si>
  <si>
    <t>Hammond</t>
  </si>
  <si>
    <t>Avante Guadalupe Industrial Park</t>
  </si>
  <si>
    <t>G07</t>
  </si>
  <si>
    <t>Tenere / Cadrex</t>
  </si>
  <si>
    <t>Pocket Park Oriente</t>
  </si>
  <si>
    <t>GP MT01</t>
  </si>
  <si>
    <t>Sola Wood Flowers</t>
  </si>
  <si>
    <t>Finsa Guadalupe</t>
  </si>
  <si>
    <t>Horacio Lozano</t>
  </si>
  <si>
    <t>HL1</t>
  </si>
  <si>
    <t>Kalos Guadalupe</t>
  </si>
  <si>
    <t>Kalos</t>
  </si>
  <si>
    <t>KG17 S2</t>
  </si>
  <si>
    <t>Joncen</t>
  </si>
  <si>
    <t>Shelmex</t>
  </si>
  <si>
    <t>$0.56-$0.62</t>
  </si>
  <si>
    <t>Funwick</t>
  </si>
  <si>
    <t>Acueducto Industrial Park</t>
  </si>
  <si>
    <t>Acueducto Spec VII</t>
  </si>
  <si>
    <t>Goode Eis</t>
  </si>
  <si>
    <t>Spec 6</t>
  </si>
  <si>
    <t>Current Power</t>
  </si>
  <si>
    <t>Spec 7</t>
  </si>
  <si>
    <t>TOTAL Guadalupe</t>
  </si>
  <si>
    <t>PESQUERIA</t>
  </si>
  <si>
    <t>Pesqueria</t>
  </si>
  <si>
    <t>Total Pesqueria</t>
  </si>
  <si>
    <t>SANTA CATARINA / GARCIA</t>
  </si>
  <si>
    <t>Santa Catarina</t>
  </si>
  <si>
    <t>Ladesa</t>
  </si>
  <si>
    <t>Avia Santa Catarina</t>
  </si>
  <si>
    <t>Avia</t>
  </si>
  <si>
    <t>AVIA 5</t>
  </si>
  <si>
    <t>Finsa Santa Catarina I</t>
  </si>
  <si>
    <t>Finsa</t>
  </si>
  <si>
    <t>Multi V Exp</t>
  </si>
  <si>
    <t>Multi V</t>
  </si>
  <si>
    <t>Carrier</t>
  </si>
  <si>
    <t>Finsa Santa Catarina II</t>
  </si>
  <si>
    <t>Finsa III</t>
  </si>
  <si>
    <t>Grupo SID</t>
  </si>
  <si>
    <t>Finsa Santa Catarina</t>
  </si>
  <si>
    <t>CMC Room</t>
  </si>
  <si>
    <t>Martel III</t>
  </si>
  <si>
    <t>Spec</t>
  </si>
  <si>
    <t>GT Logística</t>
  </si>
  <si>
    <t>Bodega Lote</t>
  </si>
  <si>
    <t xml:space="preserve">Genesis </t>
  </si>
  <si>
    <t>Parque La Puerta 4</t>
  </si>
  <si>
    <t>Robertson Industries</t>
  </si>
  <si>
    <t>La Puerta 4 - Fase II</t>
  </si>
  <si>
    <t>TMP</t>
  </si>
  <si>
    <t>Stiva Santa Catarina</t>
  </si>
  <si>
    <t>Inventario</t>
  </si>
  <si>
    <t>Carvajal</t>
  </si>
  <si>
    <t>Stiva Garcia</t>
  </si>
  <si>
    <t>Packaging</t>
  </si>
  <si>
    <t>Colombia</t>
  </si>
  <si>
    <t>$0.50-$0.55</t>
  </si>
  <si>
    <t xml:space="preserve">Connor </t>
  </si>
  <si>
    <t>Industrial Park Advance Monterrey</t>
  </si>
  <si>
    <t>Alian</t>
  </si>
  <si>
    <t>Vynmsa Santa Catarina</t>
  </si>
  <si>
    <t>TOTAL Santa Catarina</t>
  </si>
  <si>
    <t>SALINAS VICTORIA</t>
  </si>
  <si>
    <t>Salinas Victoria</t>
  </si>
  <si>
    <t>TOTAL Salinas Victoria</t>
  </si>
  <si>
    <t>TOTAL</t>
  </si>
  <si>
    <t>AVAILABLE BUILDINGS</t>
  </si>
  <si>
    <t>Building</t>
  </si>
  <si>
    <t>Location</t>
  </si>
  <si>
    <t>Total Area S.M.</t>
  </si>
  <si>
    <t>Available S.M</t>
  </si>
  <si>
    <t>Total SF</t>
  </si>
  <si>
    <t>Available SF</t>
  </si>
  <si>
    <t>Class</t>
  </si>
  <si>
    <t>AI Building III</t>
  </si>
  <si>
    <t>Kinetek</t>
  </si>
  <si>
    <t>La Silla Apodaca</t>
  </si>
  <si>
    <t>Centinela Property</t>
  </si>
  <si>
    <t>Nave 2</t>
  </si>
  <si>
    <t>Milenium Agua Fría</t>
  </si>
  <si>
    <t>MCN 3</t>
  </si>
  <si>
    <t>Milenium Center Business Park</t>
  </si>
  <si>
    <t>Modulo 1, 2 y 3</t>
  </si>
  <si>
    <t>Flex Park</t>
  </si>
  <si>
    <t>Spec 1</t>
  </si>
  <si>
    <t>GDS Industrial Park</t>
  </si>
  <si>
    <t>Luis Lauro</t>
  </si>
  <si>
    <t>MTY 007</t>
  </si>
  <si>
    <t>Nave 531</t>
  </si>
  <si>
    <t>Parque Industrial Martel</t>
  </si>
  <si>
    <t>Martel</t>
  </si>
  <si>
    <t>Nave 530 &amp; 541</t>
  </si>
  <si>
    <t>Pecari Industrial Park I</t>
  </si>
  <si>
    <t xml:space="preserve">Subdividido </t>
  </si>
  <si>
    <t>AE 01</t>
  </si>
  <si>
    <t>OWH3-2</t>
  </si>
  <si>
    <t>Via 54 N1</t>
  </si>
  <si>
    <t>Parque Industrial Vía 54</t>
  </si>
  <si>
    <t>Villacero</t>
  </si>
  <si>
    <t>Via 54 N2</t>
  </si>
  <si>
    <t>VPA04</t>
  </si>
  <si>
    <t>VPA03</t>
  </si>
  <si>
    <t>Aros 4</t>
  </si>
  <si>
    <t>Aros Industrial Park</t>
  </si>
  <si>
    <t>32 ft</t>
  </si>
  <si>
    <t>Nave XLI (Former Meli)</t>
  </si>
  <si>
    <t>Nexxus Escobedo</t>
  </si>
  <si>
    <t>Nave 1</t>
  </si>
  <si>
    <t>Parque Industrial Libramiento</t>
  </si>
  <si>
    <t>Particular</t>
  </si>
  <si>
    <t>Nave 2,3</t>
  </si>
  <si>
    <t>Parque Industrial Tecnocentro</t>
  </si>
  <si>
    <t>Parks</t>
  </si>
  <si>
    <t>Escobedo Warehouse</t>
  </si>
  <si>
    <t>Stand alone</t>
  </si>
  <si>
    <t>USAA</t>
  </si>
  <si>
    <t>San Nicolas</t>
  </si>
  <si>
    <t>Nave E</t>
  </si>
  <si>
    <t>Adhoc Sendero</t>
  </si>
  <si>
    <t>Adhoc</t>
  </si>
  <si>
    <t>M1</t>
  </si>
  <si>
    <t>Bosques del Sur</t>
  </si>
  <si>
    <t>Bosques del sur</t>
  </si>
  <si>
    <t>M2</t>
  </si>
  <si>
    <t>HSAC Industrial Park</t>
  </si>
  <si>
    <t>HSAC</t>
  </si>
  <si>
    <t>Cedis Omega</t>
  </si>
  <si>
    <t>Private owner</t>
  </si>
  <si>
    <t>TOTAL Cienega de Flores</t>
  </si>
  <si>
    <t>Celestica</t>
  </si>
  <si>
    <t>La Silla Guadalupe</t>
  </si>
  <si>
    <t>Ciesa</t>
  </si>
  <si>
    <t>VPGPE-02</t>
  </si>
  <si>
    <t>Vesta Guadalupe</t>
  </si>
  <si>
    <t>SANTA CATARINA</t>
  </si>
  <si>
    <t xml:space="preserve">Spec LT </t>
  </si>
  <si>
    <t>Stand Alone (puerta 4)</t>
  </si>
  <si>
    <t>GA 04</t>
  </si>
  <si>
    <t>TOTAL Pesqueria</t>
  </si>
  <si>
    <t>INVENTARIO EN CONSTRUCCION</t>
  </si>
  <si>
    <t>Available</t>
  </si>
  <si>
    <t>Height</t>
  </si>
  <si>
    <t>Platforms</t>
  </si>
  <si>
    <t>Ramps</t>
  </si>
  <si>
    <t>Floor</t>
  </si>
  <si>
    <t>Alliuz Spec 5</t>
  </si>
  <si>
    <t>Alliuz Apodaca</t>
  </si>
  <si>
    <t>Alliuz</t>
  </si>
  <si>
    <t>Q2 2024</t>
  </si>
  <si>
    <t>AP09</t>
  </si>
  <si>
    <t>Avante Airport</t>
  </si>
  <si>
    <t>6 inches</t>
  </si>
  <si>
    <t>Q1 2024</t>
  </si>
  <si>
    <t>A07</t>
  </si>
  <si>
    <t>A04</t>
  </si>
  <si>
    <t>Q4 2023</t>
  </si>
  <si>
    <t>M03</t>
  </si>
  <si>
    <t>Davisa Apodaca</t>
  </si>
  <si>
    <t>Davisa</t>
  </si>
  <si>
    <t>Kronos 2B</t>
  </si>
  <si>
    <t>Emblem Capital</t>
  </si>
  <si>
    <t>Kronos 3B</t>
  </si>
  <si>
    <t>MTY044</t>
  </si>
  <si>
    <t>Fibra Macquarie Apodaca</t>
  </si>
  <si>
    <t>Fibra Macquarie</t>
  </si>
  <si>
    <t>36 ft</t>
  </si>
  <si>
    <t>7 inches</t>
  </si>
  <si>
    <t>MT03</t>
  </si>
  <si>
    <t>GP Pocket Park Aeropuerto</t>
  </si>
  <si>
    <t>33 ft</t>
  </si>
  <si>
    <t>In negotiation</t>
  </si>
  <si>
    <t>MT04</t>
  </si>
  <si>
    <t>Kappa</t>
  </si>
  <si>
    <t>Finsa Apodaca</t>
  </si>
  <si>
    <t>Inventory 1A</t>
  </si>
  <si>
    <t>Standalone Concordia</t>
  </si>
  <si>
    <t>Car parking 88</t>
  </si>
  <si>
    <t>GA 02</t>
  </si>
  <si>
    <t>Stiva García Industrial Park</t>
  </si>
  <si>
    <t>30 ft</t>
  </si>
  <si>
    <t>GA 03</t>
  </si>
  <si>
    <t>TCC 4-A</t>
  </si>
  <si>
    <t>Spec A</t>
  </si>
  <si>
    <t>Vynmsa Santa Catarina Industrial Park II</t>
  </si>
  <si>
    <t>Spec B</t>
  </si>
  <si>
    <t>Spec IV</t>
  </si>
  <si>
    <t>Airport Technology Park</t>
  </si>
  <si>
    <t>Vynmsa Miguel Aleman Industrial Park</t>
  </si>
  <si>
    <t>AG02-B</t>
  </si>
  <si>
    <t>Module B</t>
  </si>
  <si>
    <t>Q4 2024</t>
  </si>
  <si>
    <t>MT01 Norte</t>
  </si>
  <si>
    <t>Pocket Park Norte</t>
  </si>
  <si>
    <t>Miller A</t>
  </si>
  <si>
    <t>Miller Park</t>
  </si>
  <si>
    <t>Miller</t>
  </si>
  <si>
    <t>34 ft</t>
  </si>
  <si>
    <t>Q3 2023</t>
  </si>
  <si>
    <t>Miller B</t>
  </si>
  <si>
    <t>MTY Spec 04</t>
  </si>
  <si>
    <t>Prosperity Cienega de Flores</t>
  </si>
  <si>
    <t>Prosperity</t>
  </si>
  <si>
    <t>31 ft</t>
  </si>
  <si>
    <t>Multi PIA</t>
  </si>
  <si>
    <t>Autodromo</t>
  </si>
  <si>
    <t>29 ft</t>
  </si>
  <si>
    <t>Nave 02</t>
  </si>
  <si>
    <t>Tredec/gonzalo treviño sada</t>
  </si>
  <si>
    <t>Edificio 9</t>
  </si>
  <si>
    <t>Tredec2</t>
  </si>
  <si>
    <t>JA 03</t>
  </si>
  <si>
    <t>VEP Spec VI</t>
  </si>
  <si>
    <t>PRIVATE OWNERS</t>
  </si>
  <si>
    <t>Company</t>
  </si>
  <si>
    <t>Location/ Park</t>
  </si>
  <si>
    <t>BTS/ Inventory / Land</t>
  </si>
  <si>
    <t>Land HAS</t>
  </si>
  <si>
    <t>Building S.M.</t>
  </si>
  <si>
    <t>Building S.F.</t>
  </si>
  <si>
    <t>Closing</t>
  </si>
  <si>
    <t>Asking price</t>
  </si>
  <si>
    <t>Price</t>
  </si>
  <si>
    <t>Source</t>
  </si>
  <si>
    <t>American Industries II</t>
  </si>
  <si>
    <t>Land</t>
  </si>
  <si>
    <t>$150 USA m2</t>
  </si>
  <si>
    <t>DLLS</t>
  </si>
  <si>
    <t>Paulina</t>
  </si>
  <si>
    <t>TSMT</t>
  </si>
  <si>
    <t>Faurecia III</t>
  </si>
  <si>
    <t>Nexxus Airport</t>
  </si>
  <si>
    <t>CC Grass</t>
  </si>
  <si>
    <t>CNC Global</t>
  </si>
  <si>
    <t>Unilever</t>
  </si>
  <si>
    <t>Kuka Home N3</t>
  </si>
  <si>
    <t>GRCC</t>
  </si>
  <si>
    <t>User Owner</t>
  </si>
  <si>
    <t>Kuka Home N2</t>
  </si>
  <si>
    <t>Lego</t>
  </si>
  <si>
    <t>ADN</t>
  </si>
  <si>
    <t>LGMG</t>
  </si>
  <si>
    <t>Roots</t>
  </si>
  <si>
    <t>KOA Automotive</t>
  </si>
  <si>
    <t>Sambo Motors</t>
  </si>
  <si>
    <t>MK Construcciones</t>
  </si>
  <si>
    <t>Pesqueria Technology Park</t>
  </si>
  <si>
    <t>Dongkook</t>
  </si>
  <si>
    <t>Cabopol</t>
  </si>
  <si>
    <t>Heler Termoplasticos</t>
  </si>
  <si>
    <t>DCR</t>
  </si>
  <si>
    <t>Global Park Pesqueria</t>
  </si>
  <si>
    <t>Cuprum</t>
  </si>
  <si>
    <t>BTS Cuprum</t>
  </si>
  <si>
    <t>Santa Caarina</t>
  </si>
  <si>
    <t>Eson</t>
  </si>
  <si>
    <t>BTS Eson</t>
  </si>
  <si>
    <t>Parque Industrial Advance Monterrey</t>
  </si>
  <si>
    <t>BMC</t>
  </si>
  <si>
    <t>Marcelo / HKENC</t>
  </si>
  <si>
    <t>2,000 KVAS</t>
  </si>
  <si>
    <t>Dany</t>
  </si>
  <si>
    <t>Festos</t>
  </si>
  <si>
    <t>Dicex</t>
  </si>
  <si>
    <t>300 KVAS</t>
  </si>
  <si>
    <t>Charger</t>
  </si>
  <si>
    <t>Salvic(Salinas Victoria)</t>
  </si>
  <si>
    <t>Logistics Canadian</t>
  </si>
  <si>
    <t>Zuazua</t>
  </si>
  <si>
    <t>Superlighting</t>
  </si>
  <si>
    <t>Zuazua ADN</t>
  </si>
  <si>
    <t>OPPLE</t>
  </si>
  <si>
    <t>Industrial Park</t>
  </si>
  <si>
    <t>FIMS</t>
  </si>
  <si>
    <t>Developer</t>
  </si>
  <si>
    <t>LAND</t>
  </si>
  <si>
    <t>SUBMERCADO</t>
  </si>
  <si>
    <t>EMPRESA</t>
  </si>
  <si>
    <t>UBICACIÓN / PARQUE IND</t>
  </si>
  <si>
    <t>AREA TOTAL TERRENO hectareas</t>
  </si>
  <si>
    <t>DESARROLLADO</t>
  </si>
  <si>
    <t>POR DESARROLLAR</t>
  </si>
  <si>
    <t>DISPONIBLE PARA VENTA</t>
  </si>
  <si>
    <t>PRECIO</t>
  </si>
  <si>
    <t>INFORMACION ADICIONAL</t>
  </si>
  <si>
    <t>Interpuerto Industrial Park</t>
  </si>
  <si>
    <t>91.56 hec. semi urbanizado / 1,055 hec. en breña</t>
  </si>
  <si>
    <t>Diamante Cienega de Flores</t>
  </si>
  <si>
    <t>Nexxus Cienega de Flores</t>
  </si>
  <si>
    <t>Vigia</t>
  </si>
  <si>
    <t>American Ind.</t>
  </si>
  <si>
    <t>Regio Parque Industrial Park</t>
  </si>
  <si>
    <t>4,469 mts</t>
  </si>
  <si>
    <t>Capital G</t>
  </si>
  <si>
    <t>Davisa Apodaca Industrial</t>
  </si>
  <si>
    <t xml:space="preserve">Guadalupe </t>
  </si>
  <si>
    <t>Sta. Catarina</t>
  </si>
  <si>
    <t>Las Americas</t>
  </si>
  <si>
    <t>Martel Industrial Park III</t>
  </si>
  <si>
    <t>Puerta del Norte</t>
  </si>
  <si>
    <t>Puerta del Norte Industrial Park</t>
  </si>
  <si>
    <t>No negociable</t>
  </si>
  <si>
    <t>Escobedo / El Carmen</t>
  </si>
  <si>
    <t>El Jaral Industrial Park</t>
  </si>
  <si>
    <t>García</t>
  </si>
  <si>
    <t>Advance Real Estate</t>
  </si>
  <si>
    <t>Advance Industrial Park (PIAM)</t>
  </si>
  <si>
    <t>El Carmen</t>
  </si>
  <si>
    <t xml:space="preserve">EVALTA  </t>
  </si>
  <si>
    <t>EVALTA - GTP</t>
  </si>
  <si>
    <t>EVALTA - CIP</t>
  </si>
  <si>
    <t>Abasolo</t>
  </si>
  <si>
    <t>EVALTA - NLC</t>
  </si>
  <si>
    <t>Pesquería</t>
  </si>
  <si>
    <t>EVALTA - ATP</t>
  </si>
  <si>
    <t>Diamante Pesquería</t>
  </si>
  <si>
    <t>Solo para BTS</t>
  </si>
  <si>
    <t>Apodaca (DN)</t>
  </si>
  <si>
    <t>Savy</t>
  </si>
  <si>
    <t>Savy Capital Dulces Nombres</t>
  </si>
  <si>
    <t>Robertson</t>
  </si>
  <si>
    <t>Puerta Pesquería</t>
  </si>
  <si>
    <t>PIES CUADRADOS TOTALES CONSTRUIDOS</t>
  </si>
  <si>
    <t>Market / Real Estate Companies</t>
  </si>
  <si>
    <t>July 2022</t>
  </si>
  <si>
    <t>Square Feet</t>
  </si>
  <si>
    <t>%Of Total</t>
  </si>
  <si>
    <t>Advance</t>
  </si>
  <si>
    <t>Amistad</t>
  </si>
  <si>
    <t>Capital G (Kronos)</t>
  </si>
  <si>
    <t>Fibra Monterrey</t>
  </si>
  <si>
    <t>Fibra Nova</t>
  </si>
  <si>
    <t>Fibra uno (Finsa)</t>
  </si>
  <si>
    <t>FIMAC (CPA + DCT+ Intramerica+Nexxus+CPA)</t>
  </si>
  <si>
    <t xml:space="preserve">Finsa </t>
  </si>
  <si>
    <t>GDS Industrial</t>
  </si>
  <si>
    <t xml:space="preserve">Grupo GP </t>
  </si>
  <si>
    <t>Hofusan</t>
  </si>
  <si>
    <t>IGS</t>
  </si>
  <si>
    <t>Inmobiliaria Cumbres</t>
  </si>
  <si>
    <t>Intermex</t>
  </si>
  <si>
    <t xml:space="preserve">Kalos </t>
  </si>
  <si>
    <t>Landus</t>
  </si>
  <si>
    <t>Omolap</t>
  </si>
  <si>
    <t>PIRSA</t>
  </si>
  <si>
    <t>Puerta Norte</t>
  </si>
  <si>
    <t>Terrafina (O’Donnell+AI)</t>
  </si>
  <si>
    <t>Total Monterrey :</t>
  </si>
  <si>
    <t>PROYECTOS FUTUROS</t>
  </si>
  <si>
    <t>DUEÑO</t>
  </si>
  <si>
    <t>AREA TOTAL TERRENO</t>
  </si>
  <si>
    <t>BTS/ Inventory</t>
  </si>
  <si>
    <t>EDIFICIO S.M.</t>
  </si>
  <si>
    <t>EDIFICIO S.F.</t>
  </si>
  <si>
    <t>INICIO</t>
  </si>
  <si>
    <t>N/A</t>
  </si>
  <si>
    <t>Prologis Apodaca</t>
  </si>
  <si>
    <t>Inventory</t>
  </si>
  <si>
    <t>3Q23</t>
  </si>
  <si>
    <t>Inventory 1B</t>
  </si>
  <si>
    <t>2Q2024</t>
  </si>
  <si>
    <t>Inventory 1C</t>
  </si>
  <si>
    <t>4Q2024</t>
  </si>
  <si>
    <t>Total Area S.M</t>
  </si>
  <si>
    <t>UNDER CONSTRUCTION</t>
  </si>
  <si>
    <t>QUARTER</t>
  </si>
  <si>
    <t>Onest (Constellation)</t>
  </si>
  <si>
    <t>Onest (Constellation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</si>
</sst>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409]d\-mmm\-yy;@"/>
    <numFmt numFmtId="165" formatCode="[$-409]mmm\-yy;@"/>
    <numFmt numFmtId="166" formatCode="#,##0.0"/>
    <numFmt numFmtId="167" formatCode="_-&quot;$&quot;* #,##0_-;\-&quot;$&quot;* #,##0_-;_-&quot;$&quot;* &quot;-&quot;??_-;_-@_-"/>
    <numFmt numFmtId="168" formatCode="_(&quot;$&quot;* #,##0.00_);_(&quot;$&quot;* \(#,##0.00\);_(&quot;$&quot;* &quot;-&quot;??_);_(@_)"/>
    <numFmt numFmtId="169" formatCode="_-[$$-80A]* #,##0.00_-;\-[$$-80A]* #,##0.00_-;_-[$$-80A]* &quot;-&quot;??_-;_-@_-"/>
    <numFmt numFmtId="170" formatCode="&quot;$&quot;#,##0.00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23"/>
      <name val="Century Gothic"/>
      <family val="2"/>
    </font>
    <font>
      <sz val="10"/>
      <name val="Open Sans"/>
      <family val="2"/>
    </font>
    <font>
      <sz val="10"/>
      <name val="Century Gothic"/>
      <family val="2"/>
    </font>
    <font>
      <b/>
      <sz val="16"/>
      <color theme="3" tint="0.39997558519241921"/>
      <name val="Century Gothic"/>
      <family val="2"/>
    </font>
    <font>
      <b/>
      <sz val="12"/>
      <color indexed="23"/>
      <name val="Century Gothic"/>
      <family val="2"/>
    </font>
    <font>
      <b/>
      <sz val="14"/>
      <name val="Arial"/>
      <family val="2"/>
    </font>
    <font>
      <b/>
      <sz val="12"/>
      <color indexed="9"/>
      <name val="Century Gothic"/>
      <family val="2"/>
    </font>
    <font>
      <b/>
      <sz val="16"/>
      <color indexed="54"/>
      <name val="Century Gothic"/>
      <family val="2"/>
    </font>
    <font>
      <b/>
      <sz val="16"/>
      <name val="Arial"/>
      <family val="2"/>
    </font>
    <font>
      <sz val="10"/>
      <color theme="3" tint="-0.249977111117893"/>
      <name val="Century Gothic"/>
      <family val="2"/>
    </font>
    <font>
      <b/>
      <sz val="10"/>
      <color theme="3" tint="-0.249977111117893"/>
      <name val="Century Gothic"/>
      <family val="2"/>
    </font>
    <font>
      <sz val="10"/>
      <color theme="3" tint="-0.249977111117893"/>
      <name val="Arial"/>
      <family val="2"/>
    </font>
    <font>
      <sz val="16"/>
      <name val="Arial"/>
      <family val="2"/>
    </font>
    <font>
      <sz val="16"/>
      <color indexed="10"/>
      <name val="Arial"/>
      <family val="2"/>
    </font>
    <font>
      <sz val="10"/>
      <name val="Arial"/>
      <family val="2"/>
    </font>
    <font>
      <sz val="12"/>
      <color indexed="9"/>
      <name val="Century Gothic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3" tint="0.39997558519241921"/>
      <name val="Century Gothic"/>
      <family val="2"/>
    </font>
    <font>
      <b/>
      <sz val="18"/>
      <name val="Century Gothic"/>
      <family val="2"/>
    </font>
    <font>
      <sz val="9"/>
      <name val="Century Gothic"/>
      <family val="2"/>
    </font>
    <font>
      <b/>
      <sz val="10"/>
      <color indexed="23"/>
      <name val="Century Gothic"/>
      <family val="2"/>
    </font>
    <font>
      <sz val="10"/>
      <color indexed="55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54"/>
      <name val="Century Gothic"/>
      <family val="2"/>
    </font>
    <font>
      <sz val="9"/>
      <name val="Calibri"/>
      <family val="2"/>
    </font>
    <font>
      <sz val="9"/>
      <color theme="3" tint="-0.249977111117893"/>
      <name val="Century Gothic"/>
      <family val="2"/>
    </font>
    <font>
      <sz val="10"/>
      <color theme="3" tint="-0.249977111117893"/>
      <name val="Calibri"/>
      <family val="2"/>
    </font>
    <font>
      <sz val="10"/>
      <name val="Calibri"/>
      <family val="2"/>
    </font>
    <font>
      <b/>
      <sz val="18"/>
      <color theme="3" tint="0.39997558519241921"/>
      <name val="Century Gothic"/>
      <family val="2"/>
    </font>
    <font>
      <b/>
      <sz val="14"/>
      <color indexed="9"/>
      <name val="Century Gothic"/>
      <family val="2"/>
    </font>
    <font>
      <sz val="10"/>
      <color indexed="9"/>
      <name val="Century Gothic"/>
      <family val="2"/>
    </font>
    <font>
      <b/>
      <sz val="10"/>
      <color indexed="22"/>
      <name val="Century Gothic"/>
      <family val="2"/>
    </font>
    <font>
      <sz val="10"/>
      <color indexed="22"/>
      <name val="Century Gothic"/>
      <family val="2"/>
    </font>
    <font>
      <sz val="10"/>
      <color theme="4" tint="-0.499984740745262"/>
      <name val="Century Gothic"/>
      <family val="2"/>
    </font>
    <font>
      <sz val="14"/>
      <name val="Century Gothic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Century Gothic"/>
      <family val="2"/>
    </font>
    <font>
      <sz val="11"/>
      <color theme="3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entury Gothic"/>
      <family val="2"/>
    </font>
    <font>
      <b/>
      <sz val="10"/>
      <color theme="3" tint="-0.249977111117893"/>
      <name val="Arial"/>
      <family val="2"/>
    </font>
    <font>
      <sz val="11"/>
      <color theme="1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0"/>
      <color theme="1"/>
      <name val="Calibri"/>
      <family val="2"/>
      <scheme val="minor"/>
    </font>
    <font>
      <sz val="10"/>
      <color rgb="FF333F4F"/>
      <name val="Century Gothic"/>
      <family val="2"/>
    </font>
    <font>
      <sz val="10"/>
      <color theme="3" tint="-0.249977111117893"/>
      <name val="Century Gothic"/>
    </font>
    <font>
      <sz val="9"/>
      <name val="Century Gothic"/>
    </font>
    <font>
      <sz val="10"/>
      <color theme="3" tint="-0.249977111117893"/>
      <name val="Arial"/>
    </font>
    <font>
      <sz val="9"/>
      <color theme="3" tint="-0.249977111117893"/>
      <name val="Century Gothic"/>
    </font>
    <font>
      <sz val="10"/>
      <color theme="3" tint="-0.249977111117893"/>
      <name val="Calibri"/>
    </font>
    <font>
      <sz val="10"/>
      <color indexed="54"/>
      <name val="Century Gothic"/>
      <family val="2"/>
    </font>
    <font>
      <sz val="11"/>
      <color theme="3"/>
      <name val="Calibri"/>
      <family val="2"/>
      <scheme val="minor"/>
    </font>
    <font>
      <sz val="12"/>
      <name val="Century Gothic"/>
      <family val="2"/>
    </font>
    <font>
      <sz val="12"/>
      <color theme="1"/>
      <name val="Calibri"/>
      <family val="2"/>
      <scheme val="minor"/>
    </font>
    <font>
      <sz val="12"/>
      <color indexed="55"/>
      <name val="Century Gothic"/>
      <family val="2"/>
    </font>
    <font>
      <b/>
      <sz val="18"/>
      <color theme="1"/>
      <name val="Century Gothic"/>
      <family val="2"/>
    </font>
    <font>
      <b/>
      <sz val="16"/>
      <color indexed="54"/>
      <name val="Century Gothic"/>
    </font>
    <font>
      <b/>
      <sz val="11"/>
      <color indexed="9"/>
      <name val="Century Gothic"/>
      <family val="2"/>
    </font>
    <font>
      <b/>
      <sz val="11"/>
      <color indexed="23"/>
      <name val="Century Gothic"/>
      <family val="2"/>
    </font>
    <font>
      <b/>
      <sz val="11"/>
      <color rgb="FFFFFFFF"/>
      <name val="Century Gothic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98F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3">
    <xf numFmtId="0" fontId="0" fillId="0" borderId="0" xfId="0"/>
    <xf numFmtId="0" fontId="6" fillId="0" borderId="0" xfId="0" applyFont="1"/>
    <xf numFmtId="3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3" fontId="28" fillId="2" borderId="2" xfId="0" applyNumberFormat="1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3" fontId="0" fillId="0" borderId="0" xfId="0" applyNumberFormat="1"/>
    <xf numFmtId="0" fontId="6" fillId="0" borderId="0" xfId="0" applyFont="1" applyAlignment="1">
      <alignment vertical="center"/>
    </xf>
    <xf numFmtId="0" fontId="15" fillId="4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3" fontId="39" fillId="0" borderId="2" xfId="0" applyNumberFormat="1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38" fillId="3" borderId="6" xfId="0" applyFont="1" applyFill="1" applyBorder="1" applyAlignment="1">
      <alignment vertical="center"/>
    </xf>
    <xf numFmtId="167" fontId="13" fillId="0" borderId="2" xfId="1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67" fontId="39" fillId="0" borderId="2" xfId="1" applyNumberFormat="1" applyFont="1" applyBorder="1" applyAlignment="1">
      <alignment horizontal="center" vertical="center"/>
    </xf>
    <xf numFmtId="167" fontId="13" fillId="0" borderId="2" xfId="3" applyNumberFormat="1" applyFont="1" applyBorder="1" applyAlignment="1">
      <alignment horizontal="center" vertical="center"/>
    </xf>
    <xf numFmtId="0" fontId="40" fillId="2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5" fillId="2" borderId="0" xfId="0" applyFont="1" applyFill="1" applyAlignment="1">
      <alignment horizontal="right" vertical="center"/>
    </xf>
    <xf numFmtId="3" fontId="35" fillId="2" borderId="0" xfId="0" applyNumberFormat="1" applyFont="1" applyFill="1" applyAlignment="1">
      <alignment horizontal="right" vertical="center"/>
    </xf>
    <xf numFmtId="0" fontId="40" fillId="2" borderId="8" xfId="0" applyFont="1" applyFill="1" applyBorder="1" applyAlignment="1">
      <alignment vertical="center"/>
    </xf>
    <xf numFmtId="0" fontId="43" fillId="0" borderId="12" xfId="0" applyFont="1" applyBorder="1" applyAlignment="1">
      <alignment horizontal="center"/>
    </xf>
    <xf numFmtId="0" fontId="43" fillId="0" borderId="13" xfId="0" applyFont="1" applyBorder="1" applyAlignment="1">
      <alignment horizontal="center"/>
    </xf>
    <xf numFmtId="10" fontId="0" fillId="0" borderId="2" xfId="0" applyNumberFormat="1" applyBorder="1"/>
    <xf numFmtId="0" fontId="18" fillId="0" borderId="0" xfId="0" applyFont="1"/>
    <xf numFmtId="0" fontId="3" fillId="0" borderId="2" xfId="0" applyFont="1" applyBorder="1"/>
    <xf numFmtId="0" fontId="28" fillId="2" borderId="8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7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3" fontId="13" fillId="0" borderId="5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3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4" borderId="2" xfId="0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29" fillId="3" borderId="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3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3" fillId="0" borderId="2" xfId="0" applyNumberFormat="1" applyFont="1" applyBorder="1"/>
    <xf numFmtId="9" fontId="3" fillId="0" borderId="2" xfId="0" applyNumberFormat="1" applyFont="1" applyBorder="1"/>
    <xf numFmtId="0" fontId="18" fillId="5" borderId="2" xfId="4" applyFill="1" applyBorder="1"/>
    <xf numFmtId="3" fontId="0" fillId="5" borderId="2" xfId="0" applyNumberFormat="1" applyFill="1" applyBorder="1"/>
    <xf numFmtId="0" fontId="18" fillId="5" borderId="5" xfId="4" applyFill="1" applyBorder="1"/>
    <xf numFmtId="3" fontId="0" fillId="5" borderId="0" xfId="0" applyNumberFormat="1" applyFill="1"/>
    <xf numFmtId="0" fontId="18" fillId="0" borderId="2" xfId="4" applyBorder="1"/>
    <xf numFmtId="3" fontId="44" fillId="0" borderId="2" xfId="0" applyNumberFormat="1" applyFont="1" applyBorder="1"/>
    <xf numFmtId="0" fontId="18" fillId="6" borderId="2" xfId="4" applyFill="1" applyBorder="1"/>
    <xf numFmtId="3" fontId="0" fillId="6" borderId="2" xfId="0" applyNumberFormat="1" applyFill="1" applyBorder="1"/>
    <xf numFmtId="3" fontId="0" fillId="0" borderId="2" xfId="0" applyNumberFormat="1" applyBorder="1"/>
    <xf numFmtId="0" fontId="45" fillId="0" borderId="2" xfId="4" applyFont="1" applyBorder="1"/>
    <xf numFmtId="3" fontId="1" fillId="0" borderId="2" xfId="0" applyNumberFormat="1" applyFont="1" applyBorder="1"/>
    <xf numFmtId="0" fontId="13" fillId="4" borderId="0" xfId="0" applyFont="1" applyFill="1" applyAlignment="1">
      <alignment vertical="center"/>
    </xf>
    <xf numFmtId="0" fontId="13" fillId="4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4" borderId="0" xfId="0" applyFont="1" applyFill="1"/>
    <xf numFmtId="0" fontId="49" fillId="7" borderId="15" xfId="0" applyFont="1" applyFill="1" applyBorder="1" applyAlignment="1">
      <alignment horizontal="center" vertical="center" wrapText="1"/>
    </xf>
    <xf numFmtId="0" fontId="50" fillId="7" borderId="15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/>
    </xf>
    <xf numFmtId="0" fontId="13" fillId="0" borderId="15" xfId="0" applyFont="1" applyBorder="1" applyAlignment="1">
      <alignment horizontal="left" wrapText="1"/>
    </xf>
    <xf numFmtId="0" fontId="51" fillId="0" borderId="0" xfId="0" applyFont="1" applyAlignment="1">
      <alignment vertical="center"/>
    </xf>
    <xf numFmtId="0" fontId="13" fillId="0" borderId="15" xfId="0" applyFont="1" applyBorder="1" applyAlignment="1">
      <alignment horizontal="center" wrapText="1"/>
    </xf>
    <xf numFmtId="0" fontId="15" fillId="0" borderId="0" xfId="2" applyFont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3" fontId="13" fillId="0" borderId="15" xfId="0" applyNumberFormat="1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52" fillId="0" borderId="0" xfId="0" applyFont="1"/>
    <xf numFmtId="0" fontId="54" fillId="0" borderId="15" xfId="0" applyFont="1" applyBorder="1"/>
    <xf numFmtId="0" fontId="55" fillId="0" borderId="0" xfId="0" applyFont="1"/>
    <xf numFmtId="0" fontId="55" fillId="0" borderId="0" xfId="0" applyFont="1" applyAlignment="1">
      <alignment vertical="center"/>
    </xf>
    <xf numFmtId="0" fontId="13" fillId="0" borderId="15" xfId="0" applyFont="1" applyBorder="1" applyAlignment="1">
      <alignment horizontal="center" vertical="center"/>
    </xf>
    <xf numFmtId="3" fontId="13" fillId="0" borderId="15" xfId="0" applyNumberFormat="1" applyFont="1" applyBorder="1" applyAlignment="1">
      <alignment horizontal="center" vertical="center" wrapText="1"/>
    </xf>
    <xf numFmtId="17" fontId="13" fillId="0" borderId="15" xfId="0" applyNumberFormat="1" applyFont="1" applyBorder="1" applyAlignment="1">
      <alignment horizontal="center" vertical="center"/>
    </xf>
    <xf numFmtId="3" fontId="57" fillId="0" borderId="15" xfId="0" applyNumberFormat="1" applyFont="1" applyBorder="1" applyAlignment="1">
      <alignment horizontal="center" vertical="center"/>
    </xf>
    <xf numFmtId="0" fontId="57" fillId="0" borderId="15" xfId="0" applyFont="1" applyBorder="1" applyAlignment="1">
      <alignment horizontal="left" vertical="center"/>
    </xf>
    <xf numFmtId="0" fontId="59" fillId="0" borderId="15" xfId="0" applyFont="1" applyBorder="1" applyAlignment="1">
      <alignment horizontal="center" vertical="center"/>
    </xf>
    <xf numFmtId="0" fontId="59" fillId="0" borderId="15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52" fillId="0" borderId="0" xfId="0" applyFont="1" applyAlignment="1">
      <alignment horizontal="left"/>
    </xf>
    <xf numFmtId="3" fontId="14" fillId="0" borderId="15" xfId="0" applyNumberFormat="1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0" borderId="15" xfId="2" applyFont="1" applyBorder="1" applyAlignment="1">
      <alignment vertical="center"/>
    </xf>
    <xf numFmtId="3" fontId="13" fillId="0" borderId="15" xfId="2" applyNumberFormat="1" applyFont="1" applyBorder="1" applyAlignment="1">
      <alignment horizontal="center" vertical="center"/>
    </xf>
    <xf numFmtId="0" fontId="13" fillId="0" borderId="15" xfId="2" applyFont="1" applyBorder="1" applyAlignment="1">
      <alignment horizontal="left" vertical="center"/>
    </xf>
    <xf numFmtId="8" fontId="13" fillId="0" borderId="15" xfId="2" applyNumberFormat="1" applyFont="1" applyBorder="1" applyAlignment="1">
      <alignment horizontal="left" vertical="center"/>
    </xf>
    <xf numFmtId="0" fontId="0" fillId="0" borderId="15" xfId="0" applyBorder="1"/>
    <xf numFmtId="0" fontId="38" fillId="3" borderId="15" xfId="0" applyFont="1" applyFill="1" applyBorder="1" applyAlignment="1">
      <alignment vertical="center"/>
    </xf>
    <xf numFmtId="0" fontId="0" fillId="0" borderId="17" xfId="0" applyBorder="1"/>
    <xf numFmtId="3" fontId="10" fillId="2" borderId="15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53" fillId="8" borderId="15" xfId="0" applyFont="1" applyFill="1" applyBorder="1" applyAlignment="1">
      <alignment horizontal="center" vertical="center" wrapText="1"/>
    </xf>
    <xf numFmtId="0" fontId="53" fillId="0" borderId="15" xfId="0" applyFont="1" applyBorder="1" applyAlignment="1">
      <alignment horizontal="center" vertical="center" wrapText="1"/>
    </xf>
    <xf numFmtId="3" fontId="31" fillId="4" borderId="15" xfId="0" applyNumberFormat="1" applyFont="1" applyFill="1" applyBorder="1" applyAlignment="1">
      <alignment horizontal="center" vertical="center"/>
    </xf>
    <xf numFmtId="0" fontId="31" fillId="4" borderId="15" xfId="0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54" fillId="0" borderId="0" xfId="0" applyFont="1"/>
    <xf numFmtId="0" fontId="54" fillId="0" borderId="15" xfId="0" applyFont="1" applyBorder="1" applyAlignment="1">
      <alignment horizontal="center"/>
    </xf>
    <xf numFmtId="3" fontId="52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9" fillId="0" borderId="2" xfId="0" applyFont="1" applyBorder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3" fillId="4" borderId="15" xfId="0" applyFont="1" applyFill="1" applyBorder="1" applyAlignment="1">
      <alignment horizontal="left" vertical="center"/>
    </xf>
    <xf numFmtId="0" fontId="13" fillId="4" borderId="15" xfId="0" applyFont="1" applyFill="1" applyBorder="1" applyAlignment="1">
      <alignment horizontal="left" wrapText="1"/>
    </xf>
    <xf numFmtId="0" fontId="31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3" fontId="13" fillId="0" borderId="15" xfId="0" applyNumberFormat="1" applyFont="1" applyBorder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13" fillId="0" borderId="15" xfId="0" applyFont="1" applyBorder="1" applyAlignment="1">
      <alignment horizontal="left" vertical="top"/>
    </xf>
    <xf numFmtId="0" fontId="53" fillId="8" borderId="15" xfId="0" applyFont="1" applyFill="1" applyBorder="1" applyAlignment="1">
      <alignment horizontal="left" wrapText="1"/>
    </xf>
    <xf numFmtId="0" fontId="52" fillId="0" borderId="0" xfId="0" applyFont="1" applyAlignment="1">
      <alignment horizontal="left" vertical="center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left"/>
    </xf>
    <xf numFmtId="0" fontId="13" fillId="0" borderId="15" xfId="0" applyFont="1" applyBorder="1" applyAlignment="1">
      <alignment horizontal="left"/>
    </xf>
    <xf numFmtId="0" fontId="59" fillId="0" borderId="15" xfId="0" applyFont="1" applyBorder="1" applyAlignment="1">
      <alignment horizontal="left" vertical="center"/>
    </xf>
    <xf numFmtId="0" fontId="59" fillId="0" borderId="16" xfId="0" applyFont="1" applyBorder="1" applyAlignment="1">
      <alignment horizontal="left" vertical="center"/>
    </xf>
    <xf numFmtId="0" fontId="39" fillId="0" borderId="15" xfId="0" applyFont="1" applyBorder="1" applyAlignment="1">
      <alignment horizontal="left" vertical="center"/>
    </xf>
    <xf numFmtId="0" fontId="48" fillId="0" borderId="0" xfId="0" applyFont="1" applyAlignment="1">
      <alignment horizontal="left" wrapText="1"/>
    </xf>
    <xf numFmtId="0" fontId="13" fillId="0" borderId="8" xfId="0" applyFont="1" applyBorder="1" applyAlignment="1">
      <alignment horizontal="left" vertical="center"/>
    </xf>
    <xf numFmtId="0" fontId="48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57" fillId="0" borderId="15" xfId="0" applyFont="1" applyBorder="1" applyAlignment="1">
      <alignment horizontal="center" vertical="center"/>
    </xf>
    <xf numFmtId="168" fontId="13" fillId="0" borderId="15" xfId="2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8" fontId="13" fillId="0" borderId="15" xfId="2" applyNumberFormat="1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3" fontId="48" fillId="0" borderId="15" xfId="0" applyNumberFormat="1" applyFont="1" applyBorder="1" applyAlignment="1">
      <alignment horizontal="center" wrapText="1"/>
    </xf>
    <xf numFmtId="0" fontId="48" fillId="0" borderId="15" xfId="0" applyFont="1" applyBorder="1" applyAlignment="1">
      <alignment horizontal="center" wrapText="1"/>
    </xf>
    <xf numFmtId="0" fontId="39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right" vertical="center"/>
    </xf>
    <xf numFmtId="0" fontId="13" fillId="0" borderId="15" xfId="0" applyFont="1" applyBorder="1" applyAlignment="1">
      <alignment vertical="center"/>
    </xf>
    <xf numFmtId="0" fontId="13" fillId="5" borderId="15" xfId="0" applyFont="1" applyFill="1" applyBorder="1" applyAlignment="1">
      <alignment horizontal="left" vertical="center" wrapText="1"/>
    </xf>
    <xf numFmtId="0" fontId="13" fillId="5" borderId="15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0" borderId="15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57" fillId="4" borderId="0" xfId="0" applyFont="1" applyFill="1" applyAlignment="1">
      <alignment vertical="center"/>
    </xf>
    <xf numFmtId="0" fontId="13" fillId="4" borderId="1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5" fontId="13" fillId="0" borderId="15" xfId="0" applyNumberFormat="1" applyFont="1" applyBorder="1" applyAlignment="1">
      <alignment horizontal="center" vertical="center"/>
    </xf>
    <xf numFmtId="8" fontId="13" fillId="0" borderId="15" xfId="0" applyNumberFormat="1" applyFont="1" applyBorder="1" applyAlignment="1">
      <alignment horizontal="left" vertical="center"/>
    </xf>
    <xf numFmtId="8" fontId="13" fillId="0" borderId="15" xfId="0" applyNumberFormat="1" applyFont="1" applyBorder="1" applyAlignment="1">
      <alignment horizontal="center" vertical="center"/>
    </xf>
    <xf numFmtId="3" fontId="13" fillId="4" borderId="15" xfId="0" applyNumberFormat="1" applyFont="1" applyFill="1" applyBorder="1" applyAlignment="1">
      <alignment horizontal="center" vertical="center"/>
    </xf>
    <xf numFmtId="165" fontId="13" fillId="4" borderId="15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8" fontId="13" fillId="4" borderId="15" xfId="0" applyNumberFormat="1" applyFont="1" applyFill="1" applyBorder="1" applyAlignment="1">
      <alignment horizontal="left" vertical="center"/>
    </xf>
    <xf numFmtId="8" fontId="13" fillId="4" borderId="15" xfId="0" applyNumberFormat="1" applyFont="1" applyFill="1" applyBorder="1" applyAlignment="1">
      <alignment horizontal="center" vertical="center"/>
    </xf>
    <xf numFmtId="3" fontId="13" fillId="4" borderId="15" xfId="0" applyNumberFormat="1" applyFont="1" applyFill="1" applyBorder="1" applyAlignment="1">
      <alignment horizontal="center" wrapText="1"/>
    </xf>
    <xf numFmtId="169" fontId="13" fillId="0" borderId="15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left"/>
    </xf>
    <xf numFmtId="17" fontId="13" fillId="0" borderId="15" xfId="0" applyNumberFormat="1" applyFont="1" applyBorder="1" applyAlignment="1">
      <alignment horizontal="left" vertical="center"/>
    </xf>
    <xf numFmtId="2" fontId="13" fillId="0" borderId="15" xfId="0" applyNumberFormat="1" applyFont="1" applyBorder="1" applyAlignment="1">
      <alignment horizontal="left"/>
    </xf>
    <xf numFmtId="2" fontId="13" fillId="0" borderId="15" xfId="0" applyNumberFormat="1" applyFont="1" applyBorder="1" applyAlignment="1">
      <alignment horizontal="center" vertical="center"/>
    </xf>
    <xf numFmtId="170" fontId="13" fillId="0" borderId="15" xfId="0" applyNumberFormat="1" applyFont="1" applyBorder="1" applyAlignment="1">
      <alignment horizontal="center" vertical="center"/>
    </xf>
    <xf numFmtId="0" fontId="13" fillId="4" borderId="15" xfId="0" applyFont="1" applyFill="1" applyBorder="1" applyAlignment="1">
      <alignment vertical="center"/>
    </xf>
    <xf numFmtId="3" fontId="13" fillId="4" borderId="15" xfId="0" applyNumberFormat="1" applyFont="1" applyFill="1" applyBorder="1" applyAlignment="1">
      <alignment horizontal="left" vertical="center"/>
    </xf>
    <xf numFmtId="17" fontId="13" fillId="4" borderId="15" xfId="0" applyNumberFormat="1" applyFont="1" applyFill="1" applyBorder="1" applyAlignment="1">
      <alignment horizontal="left" vertical="center"/>
    </xf>
    <xf numFmtId="2" fontId="13" fillId="4" borderId="15" xfId="0" applyNumberFormat="1" applyFont="1" applyFill="1" applyBorder="1" applyAlignment="1">
      <alignment horizontal="left"/>
    </xf>
    <xf numFmtId="2" fontId="13" fillId="4" borderId="15" xfId="0" applyNumberFormat="1" applyFont="1" applyFill="1" applyBorder="1" applyAlignment="1">
      <alignment horizontal="center" vertical="center"/>
    </xf>
    <xf numFmtId="3" fontId="14" fillId="0" borderId="15" xfId="0" applyNumberFormat="1" applyFont="1" applyBorder="1" applyAlignment="1">
      <alignment horizontal="left" vertical="center"/>
    </xf>
    <xf numFmtId="0" fontId="14" fillId="4" borderId="15" xfId="0" applyFont="1" applyFill="1" applyBorder="1" applyAlignment="1">
      <alignment horizontal="center" vertical="center"/>
    </xf>
    <xf numFmtId="0" fontId="13" fillId="4" borderId="15" xfId="2" applyFont="1" applyFill="1" applyBorder="1" applyAlignment="1">
      <alignment horizontal="left" vertical="center"/>
    </xf>
    <xf numFmtId="0" fontId="13" fillId="4" borderId="15" xfId="2" applyFont="1" applyFill="1" applyBorder="1" applyAlignment="1">
      <alignment vertical="center"/>
    </xf>
    <xf numFmtId="3" fontId="13" fillId="4" borderId="15" xfId="2" applyNumberFormat="1" applyFont="1" applyFill="1" applyBorder="1" applyAlignment="1">
      <alignment horizontal="center" vertical="center"/>
    </xf>
    <xf numFmtId="0" fontId="13" fillId="4" borderId="15" xfId="2" applyFont="1" applyFill="1" applyBorder="1" applyAlignment="1">
      <alignment horizontal="center" vertical="center"/>
    </xf>
    <xf numFmtId="8" fontId="13" fillId="4" borderId="15" xfId="2" applyNumberFormat="1" applyFont="1" applyFill="1" applyBorder="1" applyAlignment="1">
      <alignment horizontal="left" vertical="center"/>
    </xf>
    <xf numFmtId="168" fontId="13" fillId="4" borderId="15" xfId="2" applyNumberFormat="1" applyFont="1" applyFill="1" applyBorder="1" applyAlignment="1">
      <alignment horizontal="center" vertical="center"/>
    </xf>
    <xf numFmtId="8" fontId="13" fillId="0" borderId="15" xfId="0" applyNumberFormat="1" applyFont="1" applyBorder="1" applyAlignment="1">
      <alignment vertical="center"/>
    </xf>
    <xf numFmtId="0" fontId="13" fillId="5" borderId="15" xfId="0" applyFont="1" applyFill="1" applyBorder="1" applyAlignment="1">
      <alignment vertical="center"/>
    </xf>
    <xf numFmtId="0" fontId="57" fillId="0" borderId="15" xfId="0" applyFont="1" applyBorder="1" applyAlignment="1">
      <alignment vertical="center"/>
    </xf>
    <xf numFmtId="3" fontId="13" fillId="0" borderId="15" xfId="0" applyNumberFormat="1" applyFont="1" applyBorder="1" applyAlignment="1">
      <alignment horizontal="left" vertical="center" wrapText="1"/>
    </xf>
    <xf numFmtId="0" fontId="66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vertical="center"/>
    </xf>
    <xf numFmtId="0" fontId="29" fillId="3" borderId="15" xfId="0" applyFont="1" applyFill="1" applyBorder="1" applyAlignment="1">
      <alignment horizontal="center" vertical="center"/>
    </xf>
    <xf numFmtId="0" fontId="29" fillId="3" borderId="15" xfId="0" applyFont="1" applyFill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3" fillId="0" borderId="15" xfId="0" applyFont="1" applyBorder="1" applyAlignment="1">
      <alignment vertical="center" wrapText="1"/>
    </xf>
    <xf numFmtId="166" fontId="13" fillId="0" borderId="15" xfId="0" applyNumberFormat="1" applyFont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right" vertical="center"/>
    </xf>
    <xf numFmtId="43" fontId="13" fillId="0" borderId="15" xfId="15" applyFont="1" applyBorder="1" applyAlignment="1">
      <alignment vertical="center"/>
    </xf>
    <xf numFmtId="43" fontId="13" fillId="0" borderId="15" xfId="15" applyFont="1" applyFill="1" applyBorder="1" applyAlignment="1">
      <alignment vertical="center"/>
    </xf>
    <xf numFmtId="43" fontId="13" fillId="0" borderId="15" xfId="15" applyFont="1" applyBorder="1" applyAlignment="1">
      <alignment horizontal="center" vertical="center"/>
    </xf>
    <xf numFmtId="43" fontId="14" fillId="0" borderId="15" xfId="15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57" fillId="4" borderId="15" xfId="2" applyFont="1" applyFill="1" applyBorder="1" applyAlignment="1">
      <alignment horizontal="left" vertical="center"/>
    </xf>
    <xf numFmtId="0" fontId="57" fillId="4" borderId="15" xfId="2" applyFont="1" applyFill="1" applyBorder="1" applyAlignment="1">
      <alignment vertical="center"/>
    </xf>
    <xf numFmtId="0" fontId="57" fillId="4" borderId="15" xfId="0" applyFont="1" applyFill="1" applyBorder="1" applyAlignment="1">
      <alignment vertical="center"/>
    </xf>
    <xf numFmtId="0" fontId="57" fillId="4" borderId="15" xfId="0" applyFont="1" applyFill="1" applyBorder="1" applyAlignment="1">
      <alignment horizontal="left" vertical="center"/>
    </xf>
    <xf numFmtId="3" fontId="57" fillId="4" borderId="15" xfId="0" applyNumberFormat="1" applyFont="1" applyFill="1" applyBorder="1" applyAlignment="1">
      <alignment horizontal="center" vertical="center"/>
    </xf>
    <xf numFmtId="165" fontId="57" fillId="4" borderId="15" xfId="2" applyNumberFormat="1" applyFont="1" applyFill="1" applyBorder="1" applyAlignment="1">
      <alignment horizontal="center" vertical="center"/>
    </xf>
    <xf numFmtId="17" fontId="57" fillId="4" borderId="15" xfId="0" applyNumberFormat="1" applyFont="1" applyFill="1" applyBorder="1" applyAlignment="1">
      <alignment horizontal="left" vertical="center"/>
    </xf>
    <xf numFmtId="0" fontId="57" fillId="4" borderId="15" xfId="0" applyFont="1" applyFill="1" applyBorder="1" applyAlignment="1">
      <alignment horizontal="center" vertical="center"/>
    </xf>
    <xf numFmtId="2" fontId="57" fillId="4" borderId="15" xfId="0" applyNumberFormat="1" applyFont="1" applyFill="1" applyBorder="1" applyAlignment="1">
      <alignment horizontal="left"/>
    </xf>
    <xf numFmtId="2" fontId="57" fillId="4" borderId="15" xfId="0" applyNumberFormat="1" applyFont="1" applyFill="1" applyBorder="1" applyAlignment="1">
      <alignment horizontal="center" vertical="center"/>
    </xf>
    <xf numFmtId="0" fontId="57" fillId="4" borderId="15" xfId="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/>
    </xf>
    <xf numFmtId="164" fontId="19" fillId="2" borderId="15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vertical="center"/>
    </xf>
    <xf numFmtId="0" fontId="19" fillId="2" borderId="1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3" fontId="53" fillId="8" borderId="15" xfId="0" applyNumberFormat="1" applyFont="1" applyFill="1" applyBorder="1" applyAlignment="1">
      <alignment horizontal="center" wrapText="1"/>
    </xf>
    <xf numFmtId="0" fontId="53" fillId="8" borderId="15" xfId="0" applyFont="1" applyFill="1" applyBorder="1" applyAlignment="1">
      <alignment horizontal="center" wrapText="1"/>
    </xf>
    <xf numFmtId="3" fontId="31" fillId="0" borderId="15" xfId="0" applyNumberFormat="1" applyFont="1" applyBorder="1" applyAlignment="1">
      <alignment horizontal="center" vertical="center"/>
    </xf>
    <xf numFmtId="3" fontId="31" fillId="0" borderId="15" xfId="0" applyNumberFormat="1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/>
    </xf>
    <xf numFmtId="0" fontId="62" fillId="0" borderId="15" xfId="0" applyFont="1" applyBorder="1" applyAlignment="1">
      <alignment horizontal="left" vertical="center"/>
    </xf>
    <xf numFmtId="3" fontId="13" fillId="0" borderId="15" xfId="0" applyNumberFormat="1" applyFont="1" applyBorder="1" applyAlignment="1">
      <alignment vertical="center"/>
    </xf>
    <xf numFmtId="3" fontId="14" fillId="0" borderId="15" xfId="0" applyNumberFormat="1" applyFont="1" applyBorder="1" applyAlignment="1">
      <alignment vertical="center"/>
    </xf>
    <xf numFmtId="3" fontId="14" fillId="0" borderId="15" xfId="0" applyNumberFormat="1" applyFont="1" applyBorder="1" applyAlignment="1">
      <alignment horizontal="center" vertical="center" wrapText="1"/>
    </xf>
    <xf numFmtId="3" fontId="31" fillId="0" borderId="15" xfId="0" applyNumberFormat="1" applyFont="1" applyBorder="1" applyAlignment="1">
      <alignment vertical="center"/>
    </xf>
    <xf numFmtId="17" fontId="31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3" fontId="56" fillId="0" borderId="15" xfId="0" applyNumberFormat="1" applyFont="1" applyBorder="1" applyAlignment="1">
      <alignment horizontal="center"/>
    </xf>
    <xf numFmtId="0" fontId="26" fillId="2" borderId="15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vertical="center"/>
    </xf>
    <xf numFmtId="0" fontId="35" fillId="2" borderId="15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horizontal="left" vertical="center"/>
    </xf>
    <xf numFmtId="3" fontId="35" fillId="2" borderId="15" xfId="0" applyNumberFormat="1" applyFont="1" applyFill="1" applyBorder="1" applyAlignment="1">
      <alignment horizontal="center" vertical="center"/>
    </xf>
    <xf numFmtId="3" fontId="35" fillId="2" borderId="15" xfId="0" applyNumberFormat="1" applyFont="1" applyFill="1" applyBorder="1" applyAlignment="1">
      <alignment vertical="center"/>
    </xf>
    <xf numFmtId="0" fontId="36" fillId="2" borderId="15" xfId="0" applyFont="1" applyFill="1" applyBorder="1" applyAlignment="1">
      <alignment horizontal="center" vertical="center"/>
    </xf>
    <xf numFmtId="3" fontId="14" fillId="0" borderId="15" xfId="0" applyNumberFormat="1" applyFont="1" applyBorder="1" applyAlignment="1">
      <alignment horizontal="center"/>
    </xf>
    <xf numFmtId="0" fontId="57" fillId="5" borderId="15" xfId="0" applyFont="1" applyFill="1" applyBorder="1" applyAlignment="1">
      <alignment horizontal="left" vertical="center"/>
    </xf>
    <xf numFmtId="3" fontId="57" fillId="0" borderId="15" xfId="0" applyNumberFormat="1" applyFont="1" applyBorder="1" applyAlignment="1">
      <alignment horizontal="center" vertical="center" wrapText="1"/>
    </xf>
    <xf numFmtId="17" fontId="57" fillId="0" borderId="15" xfId="0" applyNumberFormat="1" applyFont="1" applyBorder="1" applyAlignment="1">
      <alignment horizontal="center" vertical="center"/>
    </xf>
    <xf numFmtId="0" fontId="55" fillId="0" borderId="15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64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3" fontId="30" fillId="0" borderId="0" xfId="0" applyNumberFormat="1" applyFont="1" applyAlignment="1">
      <alignment horizontal="right" vertical="center" wrapText="1"/>
    </xf>
    <xf numFmtId="3" fontId="31" fillId="0" borderId="0" xfId="0" applyNumberFormat="1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3" fontId="32" fillId="0" borderId="0" xfId="0" applyNumberFormat="1" applyFont="1" applyAlignment="1">
      <alignment horizontal="left" vertical="center" wrapText="1"/>
    </xf>
    <xf numFmtId="4" fontId="15" fillId="0" borderId="0" xfId="0" applyNumberFormat="1" applyFont="1" applyAlignment="1">
      <alignment horizontal="left" vertical="center"/>
    </xf>
    <xf numFmtId="3" fontId="57" fillId="0" borderId="0" xfId="0" applyNumberFormat="1" applyFont="1" applyAlignment="1">
      <alignment horizontal="center" vertical="center"/>
    </xf>
    <xf numFmtId="3" fontId="57" fillId="0" borderId="0" xfId="0" applyNumberFormat="1" applyFont="1" applyAlignment="1">
      <alignment horizontal="center" vertical="center" wrapText="1"/>
    </xf>
    <xf numFmtId="17" fontId="57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3" fontId="33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center" vertical="center"/>
    </xf>
    <xf numFmtId="0" fontId="53" fillId="0" borderId="0" xfId="0" applyFont="1" applyAlignment="1">
      <alignment wrapText="1"/>
    </xf>
    <xf numFmtId="0" fontId="54" fillId="0" borderId="0" xfId="0" applyFont="1" applyAlignment="1">
      <alignment vertical="center"/>
    </xf>
    <xf numFmtId="3" fontId="32" fillId="0" borderId="0" xfId="0" applyNumberFormat="1" applyFont="1" applyAlignment="1">
      <alignment vertical="center"/>
    </xf>
    <xf numFmtId="3" fontId="61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3" fontId="33" fillId="0" borderId="0" xfId="0" applyNumberFormat="1" applyFont="1" applyAlignment="1">
      <alignment horizontal="right" vertical="center"/>
    </xf>
    <xf numFmtId="3" fontId="32" fillId="0" borderId="0" xfId="0" applyNumberFormat="1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3" fontId="32" fillId="0" borderId="0" xfId="0" applyNumberFormat="1" applyFont="1" applyAlignment="1">
      <alignment horizontal="right" vertical="center"/>
    </xf>
    <xf numFmtId="0" fontId="28" fillId="2" borderId="15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3" fontId="28" fillId="2" borderId="15" xfId="0" applyNumberFormat="1" applyFont="1" applyFill="1" applyBorder="1" applyAlignment="1">
      <alignment horizontal="center" vertical="center"/>
    </xf>
    <xf numFmtId="0" fontId="64" fillId="2" borderId="15" xfId="0" applyFont="1" applyFill="1" applyBorder="1" applyAlignment="1">
      <alignment horizontal="center" vertical="center"/>
    </xf>
    <xf numFmtId="0" fontId="46" fillId="0" borderId="15" xfId="0" applyFont="1" applyBorder="1" applyAlignment="1">
      <alignment horizontal="left" vertical="center"/>
    </xf>
    <xf numFmtId="3" fontId="39" fillId="0" borderId="15" xfId="0" applyNumberFormat="1" applyFont="1" applyBorder="1" applyAlignment="1">
      <alignment horizontal="center" vertical="center"/>
    </xf>
    <xf numFmtId="165" fontId="39" fillId="0" borderId="15" xfId="0" applyNumberFormat="1" applyFont="1" applyBorder="1" applyAlignment="1">
      <alignment horizontal="center" vertical="center"/>
    </xf>
    <xf numFmtId="3" fontId="39" fillId="0" borderId="15" xfId="0" applyNumberFormat="1" applyFont="1" applyBorder="1" applyAlignment="1">
      <alignment horizontal="left" vertical="center"/>
    </xf>
    <xf numFmtId="0" fontId="40" fillId="2" borderId="15" xfId="0" applyFont="1" applyFill="1" applyBorder="1" applyAlignment="1">
      <alignment horizontal="center" vertical="center"/>
    </xf>
    <xf numFmtId="3" fontId="35" fillId="2" borderId="15" xfId="0" applyNumberFormat="1" applyFont="1" applyFill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13" fillId="0" borderId="15" xfId="0" applyFont="1" applyBorder="1" applyAlignment="1">
      <alignment vertical="top"/>
    </xf>
    <xf numFmtId="0" fontId="53" fillId="8" borderId="15" xfId="0" applyFont="1" applyFill="1" applyBorder="1" applyAlignment="1">
      <alignment vertical="center" wrapText="1"/>
    </xf>
    <xf numFmtId="0" fontId="6" fillId="0" borderId="0" xfId="0" applyFont="1" applyAlignment="1">
      <alignment horizontal="right"/>
    </xf>
    <xf numFmtId="0" fontId="55" fillId="0" borderId="15" xfId="0" applyFont="1" applyBorder="1" applyAlignment="1">
      <alignment horizontal="right" vertical="center"/>
    </xf>
    <xf numFmtId="0" fontId="13" fillId="4" borderId="15" xfId="0" applyFont="1" applyFill="1" applyBorder="1" applyAlignment="1">
      <alignment horizontal="right" vertical="center"/>
    </xf>
    <xf numFmtId="0" fontId="57" fillId="4" borderId="15" xfId="0" applyFont="1" applyFill="1" applyBorder="1" applyAlignment="1">
      <alignment horizontal="right" vertical="center"/>
    </xf>
    <xf numFmtId="0" fontId="13" fillId="0" borderId="15" xfId="2" applyFont="1" applyBorder="1" applyAlignment="1">
      <alignment horizontal="right" vertical="center"/>
    </xf>
    <xf numFmtId="0" fontId="13" fillId="4" borderId="15" xfId="2" applyFont="1" applyFill="1" applyBorder="1" applyAlignment="1">
      <alignment horizontal="right" vertical="center"/>
    </xf>
    <xf numFmtId="0" fontId="19" fillId="2" borderId="15" xfId="0" applyFont="1" applyFill="1" applyBorder="1" applyAlignment="1">
      <alignment horizontal="right" vertical="center"/>
    </xf>
    <xf numFmtId="0" fontId="13" fillId="4" borderId="4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3" fontId="13" fillId="0" borderId="0" xfId="0" applyNumberFormat="1" applyFont="1" applyAlignment="1">
      <alignment horizontal="center" vertical="center" wrapText="1"/>
    </xf>
    <xf numFmtId="17" fontId="13" fillId="0" borderId="0" xfId="0" applyNumberFormat="1" applyFont="1" applyAlignment="1">
      <alignment horizontal="center" vertical="center"/>
    </xf>
    <xf numFmtId="0" fontId="28" fillId="2" borderId="13" xfId="0" applyFont="1" applyFill="1" applyBorder="1" applyAlignment="1">
      <alignment horizontal="center" vertical="center"/>
    </xf>
    <xf numFmtId="3" fontId="13" fillId="0" borderId="19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3" fontId="13" fillId="0" borderId="18" xfId="0" applyNumberFormat="1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left" wrapText="1"/>
    </xf>
    <xf numFmtId="3" fontId="13" fillId="0" borderId="15" xfId="15" applyNumberFormat="1" applyFont="1" applyBorder="1" applyAlignment="1">
      <alignment horizontal="center" vertical="center"/>
    </xf>
    <xf numFmtId="3" fontId="14" fillId="0" borderId="15" xfId="15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3" fillId="0" borderId="15" xfId="15" applyNumberFormat="1" applyFont="1" applyFill="1" applyBorder="1" applyAlignment="1">
      <alignment horizontal="center" vertical="center"/>
    </xf>
    <xf numFmtId="43" fontId="13" fillId="0" borderId="15" xfId="15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right" vertical="center"/>
    </xf>
    <xf numFmtId="0" fontId="14" fillId="0" borderId="19" xfId="0" applyFont="1" applyBorder="1" applyAlignment="1">
      <alignment horizontal="right" vertical="center"/>
    </xf>
    <xf numFmtId="0" fontId="14" fillId="0" borderId="21" xfId="0" applyFont="1" applyBorder="1" applyAlignment="1">
      <alignment horizontal="right" vertical="center"/>
    </xf>
    <xf numFmtId="0" fontId="14" fillId="0" borderId="16" xfId="0" applyFont="1" applyBorder="1" applyAlignment="1">
      <alignment horizontal="right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right" vertical="center"/>
    </xf>
    <xf numFmtId="0" fontId="68" fillId="3" borderId="19" xfId="0" applyFont="1" applyFill="1" applyBorder="1" applyAlignment="1">
      <alignment horizontal="center" vertical="center"/>
    </xf>
    <xf numFmtId="0" fontId="68" fillId="3" borderId="21" xfId="0" applyFont="1" applyFill="1" applyBorder="1" applyAlignment="1">
      <alignment horizontal="center" vertical="center"/>
    </xf>
    <xf numFmtId="0" fontId="68" fillId="3" borderId="16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7" fillId="3" borderId="15" xfId="0" applyFont="1" applyFill="1" applyBorder="1" applyAlignment="1">
      <alignment horizontal="left" vertical="center"/>
    </xf>
    <xf numFmtId="0" fontId="37" fillId="3" borderId="0" xfId="0" applyFont="1" applyFill="1" applyAlignment="1">
      <alignment horizontal="left" vertical="center"/>
    </xf>
    <xf numFmtId="0" fontId="4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7" fillId="3" borderId="14" xfId="0" applyFont="1" applyFill="1" applyBorder="1" applyAlignment="1">
      <alignment horizontal="left" vertical="center"/>
    </xf>
    <xf numFmtId="0" fontId="37" fillId="3" borderId="2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center" vertical="center"/>
    </xf>
    <xf numFmtId="0" fontId="69" fillId="2" borderId="15" xfId="0" applyFont="1" applyFill="1" applyBorder="1" applyAlignment="1">
      <alignment horizontal="center" vertical="center"/>
    </xf>
    <xf numFmtId="0" fontId="70" fillId="2" borderId="15" xfId="0" applyFont="1" applyFill="1" applyBorder="1" applyAlignment="1">
      <alignment horizontal="left" vertical="center"/>
    </xf>
    <xf numFmtId="0" fontId="71" fillId="7" borderId="15" xfId="0" applyFont="1" applyFill="1" applyBorder="1" applyAlignment="1">
      <alignment horizontal="center" vertical="center" wrapText="1"/>
    </xf>
    <xf numFmtId="3" fontId="69" fillId="2" borderId="15" xfId="0" applyNumberFormat="1" applyFont="1" applyFill="1" applyBorder="1" applyAlignment="1">
      <alignment horizontal="center" vertical="center"/>
    </xf>
    <xf numFmtId="0" fontId="69" fillId="2" borderId="15" xfId="0" applyFont="1" applyFill="1" applyBorder="1" applyAlignment="1">
      <alignment horizontal="left" vertical="center"/>
    </xf>
    <xf numFmtId="0" fontId="69" fillId="2" borderId="15" xfId="0" applyFont="1" applyFill="1" applyBorder="1" applyAlignment="1">
      <alignment horizontal="right" vertical="center"/>
    </xf>
    <xf numFmtId="0" fontId="72" fillId="0" borderId="0" xfId="0" applyFont="1" applyAlignment="1">
      <alignment horizontal="center" vertical="center"/>
    </xf>
    <xf numFmtId="0" fontId="0" fillId="0" borderId="0" xfId="0" applyFont="1"/>
  </cellXfs>
  <cellStyles count="16">
    <cellStyle name="Millares" xfId="15" builtinId="3"/>
    <cellStyle name="Moneda" xfId="1" builtinId="4"/>
    <cellStyle name="Moneda 2" xfId="3" xr:uid="{FFF35358-769D-42B4-AD01-63737015548C}"/>
    <cellStyle name="Moneda 2 2" xfId="6" xr:uid="{51032BB2-F401-45FA-A6B2-FEE872AE8CC0}"/>
    <cellStyle name="Moneda 2 2 2" xfId="10" xr:uid="{B5FF4A14-EF96-4D49-8317-7D9F19F8CE87}"/>
    <cellStyle name="Moneda 2 2 3" xfId="14" xr:uid="{1AB63616-00B3-4546-878F-5387239B8EF5}"/>
    <cellStyle name="Moneda 2 3" xfId="8" xr:uid="{79EEB431-7CA5-40B4-97D9-6CA788E7B72F}"/>
    <cellStyle name="Moneda 2 4" xfId="12" xr:uid="{229C42C8-FB1F-4905-A29E-73925839F51B}"/>
    <cellStyle name="Moneda 3" xfId="5" xr:uid="{7F9AFBE0-F67B-47E9-98A6-6D13A325ECC9}"/>
    <cellStyle name="Moneda 3 2" xfId="9" xr:uid="{036C200D-117B-4BB4-B7A2-703C7408E35D}"/>
    <cellStyle name="Moneda 3 3" xfId="13" xr:uid="{7054BF7B-832E-4C87-BD15-B444142586AC}"/>
    <cellStyle name="Moneda 4" xfId="7" xr:uid="{19A6770C-970D-4F60-9807-6CB87992F426}"/>
    <cellStyle name="Moneda 5" xfId="11" xr:uid="{50785546-064E-4905-8FE6-19C18BB6B222}"/>
    <cellStyle name="Normal" xfId="0" builtinId="0"/>
    <cellStyle name="Normal 2" xfId="2" xr:uid="{49D2A1A7-CC77-4D20-B0E3-2566FCA2B05F}"/>
    <cellStyle name="Normal 2 2" xfId="4" xr:uid="{A584367E-F6E8-49D3-AAFB-DCB3F1095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946E-6B41-4B1C-8BB2-FB2C0B62F011}">
  <sheetPr>
    <pageSetUpPr fitToPage="1"/>
  </sheetPr>
  <dimension ref="A1:BF147"/>
  <sheetViews>
    <sheetView tabSelected="1" zoomScale="80" zoomScaleNormal="80" workbookViewId="0">
      <selection activeCell="C72" sqref="C72"/>
    </sheetView>
  </sheetViews>
  <sheetFormatPr baseColWidth="10" defaultColWidth="9.1328125" defaultRowHeight="14.25" x14ac:dyDescent="0.45"/>
  <cols>
    <col min="1" max="1" width="4.53125" style="185" customWidth="1"/>
    <col min="2" max="2" width="17.33203125" style="4" customWidth="1"/>
    <col min="3" max="3" width="22.9296875" style="4" customWidth="1"/>
    <col min="4" max="4" width="30.1328125" style="4" customWidth="1"/>
    <col min="5" max="5" width="17.265625" style="185" customWidth="1"/>
    <col min="6" max="6" width="14.86328125" style="185" customWidth="1"/>
    <col min="7" max="7" width="11.265625" style="86" customWidth="1"/>
    <col min="8" max="8" width="12" style="341" bestFit="1" customWidth="1"/>
    <col min="9" max="9" width="17.3984375" style="185" customWidth="1"/>
    <col min="10" max="10" width="13.06640625" style="164" customWidth="1"/>
    <col min="11" max="11" width="18.73046875" style="185" bestFit="1" customWidth="1"/>
    <col min="12" max="12" width="10.1328125" style="164" bestFit="1" customWidth="1"/>
    <col min="13" max="13" width="21.33203125" style="169" customWidth="1"/>
    <col min="14" max="14" width="17.1328125" style="86" customWidth="1"/>
    <col min="15" max="15" width="9.73046875" style="197" customWidth="1"/>
    <col min="16" max="16" width="23.73046875" style="4" customWidth="1"/>
    <col min="17" max="17" width="13.3984375" style="4" bestFit="1" customWidth="1"/>
    <col min="18" max="18" width="18.46484375" style="164" customWidth="1"/>
    <col min="19" max="19" width="12.19921875" style="164" customWidth="1"/>
    <col min="20" max="20" width="8.1328125" style="164" customWidth="1"/>
    <col min="21" max="21" width="14.1328125" style="4" customWidth="1"/>
    <col min="22" max="16384" width="9.1328125" style="4"/>
  </cols>
  <sheetData>
    <row r="1" spans="1:58" ht="15" x14ac:dyDescent="0.55000000000000004">
      <c r="A1" s="184"/>
      <c r="B1" s="85"/>
      <c r="C1" s="1"/>
      <c r="D1" s="1"/>
      <c r="E1" s="196"/>
      <c r="F1" s="196"/>
      <c r="G1" s="3"/>
      <c r="H1" s="2"/>
      <c r="I1" s="196"/>
      <c r="J1" s="165"/>
      <c r="K1" s="196"/>
      <c r="L1" s="15"/>
      <c r="M1" s="110"/>
      <c r="N1" s="3"/>
      <c r="O1" s="319"/>
      <c r="P1" s="1"/>
      <c r="Q1" s="1"/>
      <c r="R1" s="15"/>
      <c r="S1" s="15"/>
      <c r="T1" s="15"/>
    </row>
    <row r="2" spans="1:58" ht="19.5" customHeight="1" x14ac:dyDescent="0.45">
      <c r="A2" s="344" t="s">
        <v>0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ht="17.649999999999999" x14ac:dyDescent="0.45">
      <c r="A3" s="345" t="s">
        <v>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s="382" customFormat="1" ht="15.75" customHeight="1" x14ac:dyDescent="0.45">
      <c r="A4" s="376"/>
      <c r="B4" s="375" t="s">
        <v>2</v>
      </c>
      <c r="C4" s="375" t="s">
        <v>3</v>
      </c>
      <c r="D4" s="377" t="s">
        <v>4</v>
      </c>
      <c r="E4" s="375" t="s">
        <v>5</v>
      </c>
      <c r="F4" s="375" t="s">
        <v>6</v>
      </c>
      <c r="G4" s="375" t="s">
        <v>7</v>
      </c>
      <c r="H4" s="378" t="s">
        <v>8</v>
      </c>
      <c r="I4" s="379" t="s">
        <v>9</v>
      </c>
      <c r="J4" s="88" t="s">
        <v>725</v>
      </c>
      <c r="K4" s="375" t="s">
        <v>11</v>
      </c>
      <c r="L4" s="375" t="s">
        <v>12</v>
      </c>
      <c r="M4" s="375" t="s">
        <v>13</v>
      </c>
      <c r="N4" s="375" t="s">
        <v>14</v>
      </c>
      <c r="O4" s="380" t="s">
        <v>15</v>
      </c>
      <c r="P4" s="375" t="s">
        <v>16</v>
      </c>
      <c r="Q4" s="375" t="s">
        <v>17</v>
      </c>
      <c r="R4" s="375" t="s">
        <v>18</v>
      </c>
      <c r="S4" s="375" t="s">
        <v>19</v>
      </c>
      <c r="T4" s="378" t="s">
        <v>20</v>
      </c>
      <c r="U4" s="381"/>
      <c r="V4" s="381"/>
      <c r="W4" s="381"/>
      <c r="X4" s="381"/>
      <c r="Y4" s="381"/>
      <c r="Z4" s="381"/>
      <c r="AA4" s="381"/>
      <c r="AB4" s="381"/>
      <c r="AC4" s="381"/>
      <c r="AD4" s="381"/>
      <c r="AE4" s="381"/>
      <c r="AF4" s="381"/>
      <c r="AG4" s="381"/>
      <c r="AH4" s="381"/>
      <c r="AI4" s="381"/>
      <c r="AJ4" s="381"/>
      <c r="AK4" s="381"/>
      <c r="AL4" s="381"/>
      <c r="AM4" s="381"/>
      <c r="AN4" s="381"/>
      <c r="AO4" s="381"/>
      <c r="AP4" s="381"/>
      <c r="AQ4" s="381"/>
      <c r="AR4" s="381"/>
      <c r="AS4" s="381"/>
      <c r="AT4" s="381"/>
      <c r="AU4" s="381"/>
      <c r="AV4" s="381"/>
      <c r="AW4" s="381"/>
      <c r="AX4" s="381"/>
      <c r="AY4" s="381"/>
      <c r="AZ4" s="381"/>
      <c r="BA4" s="381"/>
      <c r="BB4" s="381"/>
      <c r="BC4" s="381"/>
      <c r="BD4" s="381"/>
      <c r="BE4" s="381"/>
      <c r="BF4" s="381"/>
    </row>
    <row r="5" spans="1:58" ht="19.5" customHeight="1" x14ac:dyDescent="0.45">
      <c r="A5" s="350" t="s">
        <v>21</v>
      </c>
      <c r="B5" s="351"/>
      <c r="C5" s="351"/>
      <c r="D5" s="351"/>
      <c r="E5" s="351"/>
      <c r="F5" s="351"/>
      <c r="G5" s="351"/>
      <c r="H5" s="351"/>
      <c r="I5" s="351"/>
      <c r="J5" s="351"/>
      <c r="K5" s="351"/>
      <c r="L5" s="351"/>
      <c r="M5" s="351"/>
      <c r="N5" s="351"/>
      <c r="O5" s="351"/>
      <c r="P5" s="351"/>
      <c r="Q5" s="351"/>
      <c r="R5" s="351"/>
      <c r="S5" s="351"/>
      <c r="T5" s="352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8" customFormat="1" ht="13.5" customHeight="1" x14ac:dyDescent="0.45">
      <c r="A6" s="96">
        <v>1</v>
      </c>
      <c r="B6" s="176" t="s">
        <v>22</v>
      </c>
      <c r="C6" s="176" t="s">
        <v>23</v>
      </c>
      <c r="D6" s="176" t="s">
        <v>24</v>
      </c>
      <c r="E6" s="96" t="s">
        <v>25</v>
      </c>
      <c r="F6" s="96" t="s">
        <v>26</v>
      </c>
      <c r="G6" s="233">
        <f t="shared" ref="G6" si="0">H6/10.764</f>
        <v>11167.967298402082</v>
      </c>
      <c r="H6" s="338">
        <v>120212</v>
      </c>
      <c r="I6" s="96" t="s">
        <v>27</v>
      </c>
      <c r="J6" s="103" t="s">
        <v>28</v>
      </c>
      <c r="K6" s="96" t="s">
        <v>29</v>
      </c>
      <c r="L6" s="103">
        <v>10</v>
      </c>
      <c r="M6" s="96" t="s">
        <v>30</v>
      </c>
      <c r="N6" s="176" t="s">
        <v>31</v>
      </c>
      <c r="O6" s="180"/>
      <c r="P6" s="176"/>
      <c r="Q6" s="176" t="s">
        <v>32</v>
      </c>
      <c r="R6" s="103"/>
      <c r="S6" s="103" t="s">
        <v>33</v>
      </c>
      <c r="T6" s="103" t="s">
        <v>34</v>
      </c>
    </row>
    <row r="7" spans="1:58" s="8" customFormat="1" ht="13.5" customHeight="1" x14ac:dyDescent="0.45">
      <c r="A7" s="96">
        <v>2</v>
      </c>
      <c r="B7" s="176" t="s">
        <v>22</v>
      </c>
      <c r="C7" s="176" t="s">
        <v>35</v>
      </c>
      <c r="D7" s="176" t="s">
        <v>36</v>
      </c>
      <c r="E7" s="96" t="s">
        <v>37</v>
      </c>
      <c r="F7" s="96" t="s">
        <v>38</v>
      </c>
      <c r="G7" s="343">
        <f t="shared" ref="G7:G10" si="1">H7/10.764</f>
        <v>13979.883872166482</v>
      </c>
      <c r="H7" s="342">
        <v>150479.47</v>
      </c>
      <c r="I7" s="96" t="s">
        <v>39</v>
      </c>
      <c r="J7" s="103" t="s">
        <v>40</v>
      </c>
      <c r="K7" s="96" t="s">
        <v>41</v>
      </c>
      <c r="L7" s="103">
        <v>5</v>
      </c>
      <c r="M7" s="96" t="s">
        <v>42</v>
      </c>
      <c r="N7" s="176" t="s">
        <v>31</v>
      </c>
      <c r="O7" s="180">
        <v>1500</v>
      </c>
      <c r="P7" s="176" t="s">
        <v>43</v>
      </c>
      <c r="Q7" s="176" t="s">
        <v>44</v>
      </c>
      <c r="R7" s="103"/>
      <c r="S7" s="103"/>
      <c r="T7" s="103" t="s">
        <v>34</v>
      </c>
    </row>
    <row r="8" spans="1:58" s="8" customFormat="1" ht="13.5" customHeight="1" x14ac:dyDescent="0.45">
      <c r="A8" s="96">
        <v>3</v>
      </c>
      <c r="B8" s="176" t="s">
        <v>22</v>
      </c>
      <c r="C8" s="176" t="s">
        <v>45</v>
      </c>
      <c r="D8" s="176" t="s">
        <v>46</v>
      </c>
      <c r="E8" s="96" t="s">
        <v>47</v>
      </c>
      <c r="F8" s="96" t="s">
        <v>47</v>
      </c>
      <c r="G8" s="233">
        <f t="shared" si="1"/>
        <v>18580.917874396135</v>
      </c>
      <c r="H8" s="342">
        <v>200005</v>
      </c>
      <c r="I8" s="96" t="s">
        <v>48</v>
      </c>
      <c r="J8" s="103" t="s">
        <v>40</v>
      </c>
      <c r="K8" s="96" t="s">
        <v>49</v>
      </c>
      <c r="L8" s="103">
        <v>7</v>
      </c>
      <c r="M8" s="96" t="s">
        <v>30</v>
      </c>
      <c r="N8" s="176" t="s">
        <v>31</v>
      </c>
      <c r="O8" s="180"/>
      <c r="P8" s="176"/>
      <c r="Q8" s="176" t="s">
        <v>50</v>
      </c>
      <c r="R8" s="103"/>
      <c r="S8" s="103" t="s">
        <v>33</v>
      </c>
      <c r="T8" s="103" t="s">
        <v>34</v>
      </c>
    </row>
    <row r="9" spans="1:58" s="8" customFormat="1" ht="13.5" customHeight="1" x14ac:dyDescent="0.45">
      <c r="A9" s="96">
        <v>4</v>
      </c>
      <c r="B9" s="176" t="s">
        <v>22</v>
      </c>
      <c r="C9" s="176" t="s">
        <v>51</v>
      </c>
      <c r="D9" s="176" t="s">
        <v>52</v>
      </c>
      <c r="E9" s="96" t="s">
        <v>47</v>
      </c>
      <c r="F9" s="96" t="s">
        <v>47</v>
      </c>
      <c r="G9" s="233">
        <f t="shared" si="1"/>
        <v>12137.774061687105</v>
      </c>
      <c r="H9" s="338">
        <v>130651</v>
      </c>
      <c r="I9" s="96" t="s">
        <v>53</v>
      </c>
      <c r="J9" s="103" t="s">
        <v>54</v>
      </c>
      <c r="K9" s="96" t="s">
        <v>55</v>
      </c>
      <c r="L9" s="103">
        <v>7</v>
      </c>
      <c r="M9" s="96" t="s">
        <v>56</v>
      </c>
      <c r="N9" s="176" t="s">
        <v>31</v>
      </c>
      <c r="O9" s="180"/>
      <c r="P9" s="176"/>
      <c r="Q9" s="176" t="s">
        <v>57</v>
      </c>
      <c r="R9" s="103"/>
      <c r="S9" s="103" t="s">
        <v>33</v>
      </c>
      <c r="T9" s="103" t="s">
        <v>34</v>
      </c>
    </row>
    <row r="10" spans="1:58" s="8" customFormat="1" ht="13.5" customHeight="1" x14ac:dyDescent="0.45">
      <c r="A10" s="96">
        <v>5</v>
      </c>
      <c r="B10" s="176" t="s">
        <v>22</v>
      </c>
      <c r="C10" s="176" t="s">
        <v>58</v>
      </c>
      <c r="D10" s="176" t="s">
        <v>59</v>
      </c>
      <c r="E10" s="96" t="s">
        <v>47</v>
      </c>
      <c r="F10" s="96" t="s">
        <v>47</v>
      </c>
      <c r="G10" s="233">
        <f t="shared" si="1"/>
        <v>14377.926421404683</v>
      </c>
      <c r="H10" s="338">
        <v>154764</v>
      </c>
      <c r="I10" s="96" t="s">
        <v>60</v>
      </c>
      <c r="J10" s="103" t="s">
        <v>40</v>
      </c>
      <c r="K10" s="96" t="s">
        <v>49</v>
      </c>
      <c r="L10" s="103">
        <v>7</v>
      </c>
      <c r="M10" s="96" t="s">
        <v>30</v>
      </c>
      <c r="N10" s="176" t="s">
        <v>31</v>
      </c>
      <c r="O10" s="180"/>
      <c r="P10" s="176"/>
      <c r="Q10" s="176" t="s">
        <v>61</v>
      </c>
      <c r="R10" s="103" t="s">
        <v>62</v>
      </c>
      <c r="S10" s="103" t="s">
        <v>33</v>
      </c>
      <c r="T10" s="103" t="s">
        <v>34</v>
      </c>
    </row>
    <row r="11" spans="1:58" ht="13.5" customHeight="1" x14ac:dyDescent="0.45">
      <c r="A11" s="96">
        <v>6</v>
      </c>
      <c r="B11" s="176" t="s">
        <v>22</v>
      </c>
      <c r="C11" s="176" t="s">
        <v>63</v>
      </c>
      <c r="D11" s="176" t="s">
        <v>64</v>
      </c>
      <c r="E11" s="96" t="s">
        <v>65</v>
      </c>
      <c r="F11" s="96" t="s">
        <v>66</v>
      </c>
      <c r="G11" s="233">
        <f t="shared" ref="G11:G22" si="2">H11/10.764</f>
        <v>10838.071348940915</v>
      </c>
      <c r="H11" s="338">
        <v>116661</v>
      </c>
      <c r="I11" s="96" t="s">
        <v>60</v>
      </c>
      <c r="J11" s="103" t="s">
        <v>67</v>
      </c>
      <c r="K11" s="96" t="s">
        <v>29</v>
      </c>
      <c r="L11" s="103">
        <v>7</v>
      </c>
      <c r="M11" s="96"/>
      <c r="N11" s="176" t="s">
        <v>68</v>
      </c>
      <c r="O11" s="180">
        <v>500</v>
      </c>
      <c r="P11" s="176" t="s">
        <v>69</v>
      </c>
      <c r="Q11" s="176" t="s">
        <v>70</v>
      </c>
      <c r="R11" s="103"/>
      <c r="S11" s="103" t="s">
        <v>33</v>
      </c>
      <c r="T11" s="103" t="s">
        <v>34</v>
      </c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</row>
    <row r="12" spans="1:58" s="8" customFormat="1" ht="13.5" customHeight="1" x14ac:dyDescent="0.45">
      <c r="A12" s="96">
        <v>7</v>
      </c>
      <c r="B12" s="176" t="s">
        <v>22</v>
      </c>
      <c r="C12" s="176" t="s">
        <v>71</v>
      </c>
      <c r="D12" s="176" t="s">
        <v>72</v>
      </c>
      <c r="E12" s="96" t="s">
        <v>73</v>
      </c>
      <c r="F12" s="96" t="s">
        <v>74</v>
      </c>
      <c r="G12" s="233">
        <f t="shared" si="2"/>
        <v>12247.956150130063</v>
      </c>
      <c r="H12" s="338">
        <v>131837</v>
      </c>
      <c r="I12" s="96" t="s">
        <v>75</v>
      </c>
      <c r="J12" s="103" t="s">
        <v>40</v>
      </c>
      <c r="K12" s="96" t="s">
        <v>49</v>
      </c>
      <c r="L12" s="103">
        <v>7</v>
      </c>
      <c r="M12" s="96" t="s">
        <v>42</v>
      </c>
      <c r="N12" s="176" t="s">
        <v>31</v>
      </c>
      <c r="O12" s="180"/>
      <c r="P12" s="176"/>
      <c r="Q12" s="176" t="s">
        <v>44</v>
      </c>
      <c r="R12" s="103" t="s">
        <v>76</v>
      </c>
      <c r="S12" s="103" t="s">
        <v>33</v>
      </c>
      <c r="T12" s="103" t="s">
        <v>34</v>
      </c>
    </row>
    <row r="13" spans="1:58" ht="13.5" customHeight="1" x14ac:dyDescent="0.45">
      <c r="A13" s="96">
        <v>8</v>
      </c>
      <c r="B13" s="176" t="s">
        <v>22</v>
      </c>
      <c r="C13" s="176" t="s">
        <v>77</v>
      </c>
      <c r="D13" s="176" t="s">
        <v>78</v>
      </c>
      <c r="E13" s="96" t="s">
        <v>79</v>
      </c>
      <c r="F13" s="96" t="s">
        <v>38</v>
      </c>
      <c r="G13" s="233">
        <f t="shared" si="2"/>
        <v>20168.153102935714</v>
      </c>
      <c r="H13" s="338">
        <v>217090</v>
      </c>
      <c r="I13" s="96" t="s">
        <v>80</v>
      </c>
      <c r="J13" s="103" t="s">
        <v>67</v>
      </c>
      <c r="K13" s="96" t="s">
        <v>29</v>
      </c>
      <c r="L13" s="103">
        <v>5</v>
      </c>
      <c r="M13" s="96"/>
      <c r="N13" s="176" t="s">
        <v>31</v>
      </c>
      <c r="O13" s="180">
        <v>1500</v>
      </c>
      <c r="P13" s="176" t="s">
        <v>81</v>
      </c>
      <c r="Q13" s="176" t="s">
        <v>82</v>
      </c>
      <c r="R13" s="103"/>
      <c r="S13" s="103" t="s">
        <v>33</v>
      </c>
      <c r="T13" s="103" t="s">
        <v>34</v>
      </c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</row>
    <row r="14" spans="1:58" s="8" customFormat="1" ht="13.5" customHeight="1" x14ac:dyDescent="0.45">
      <c r="A14" s="96">
        <v>9</v>
      </c>
      <c r="B14" s="176" t="s">
        <v>22</v>
      </c>
      <c r="C14" s="176" t="s">
        <v>83</v>
      </c>
      <c r="D14" s="176" t="s">
        <v>84</v>
      </c>
      <c r="E14" s="96" t="s">
        <v>85</v>
      </c>
      <c r="F14" s="96" t="s">
        <v>85</v>
      </c>
      <c r="G14" s="233">
        <f t="shared" si="2"/>
        <v>4983.4633965068751</v>
      </c>
      <c r="H14" s="338">
        <v>53642</v>
      </c>
      <c r="I14" s="96" t="s">
        <v>86</v>
      </c>
      <c r="J14" s="103" t="s">
        <v>40</v>
      </c>
      <c r="K14" s="96" t="s">
        <v>87</v>
      </c>
      <c r="L14" s="103">
        <v>5</v>
      </c>
      <c r="M14" s="96"/>
      <c r="N14" s="176" t="s">
        <v>31</v>
      </c>
      <c r="O14" s="180"/>
      <c r="P14" s="176"/>
      <c r="Q14" s="176" t="s">
        <v>57</v>
      </c>
      <c r="R14" s="103" t="s">
        <v>88</v>
      </c>
      <c r="S14" s="103" t="s">
        <v>33</v>
      </c>
      <c r="T14" s="103" t="s">
        <v>34</v>
      </c>
    </row>
    <row r="15" spans="1:58" s="8" customFormat="1" ht="13.5" customHeight="1" x14ac:dyDescent="0.45">
      <c r="A15" s="96">
        <v>10</v>
      </c>
      <c r="B15" s="176" t="s">
        <v>22</v>
      </c>
      <c r="C15" s="176" t="s">
        <v>89</v>
      </c>
      <c r="D15" s="176" t="s">
        <v>90</v>
      </c>
      <c r="E15" s="96" t="s">
        <v>91</v>
      </c>
      <c r="F15" s="96" t="s">
        <v>92</v>
      </c>
      <c r="G15" s="233">
        <f t="shared" si="2"/>
        <v>13285.024154589373</v>
      </c>
      <c r="H15" s="338">
        <v>143000</v>
      </c>
      <c r="I15" s="96" t="s">
        <v>93</v>
      </c>
      <c r="J15" s="103" t="s">
        <v>40</v>
      </c>
      <c r="K15" s="96" t="s">
        <v>94</v>
      </c>
      <c r="L15" s="103">
        <v>7</v>
      </c>
      <c r="M15" s="96"/>
      <c r="N15" s="176" t="s">
        <v>31</v>
      </c>
      <c r="O15" s="180"/>
      <c r="P15" s="176"/>
      <c r="Q15" s="176" t="s">
        <v>57</v>
      </c>
      <c r="R15" s="103" t="s">
        <v>95</v>
      </c>
      <c r="S15" s="103" t="s">
        <v>33</v>
      </c>
      <c r="T15" s="103" t="s">
        <v>34</v>
      </c>
    </row>
    <row r="16" spans="1:58" ht="13.5" customHeight="1" x14ac:dyDescent="0.45">
      <c r="A16" s="96">
        <v>11</v>
      </c>
      <c r="B16" s="176" t="s">
        <v>22</v>
      </c>
      <c r="C16" s="176" t="s">
        <v>96</v>
      </c>
      <c r="D16" s="176" t="s">
        <v>97</v>
      </c>
      <c r="E16" s="96" t="s">
        <v>91</v>
      </c>
      <c r="F16" s="96" t="s">
        <v>92</v>
      </c>
      <c r="G16" s="233">
        <f t="shared" si="2"/>
        <v>11847.826086956522</v>
      </c>
      <c r="H16" s="338">
        <v>127530</v>
      </c>
      <c r="I16" s="96" t="s">
        <v>98</v>
      </c>
      <c r="J16" s="103" t="s">
        <v>67</v>
      </c>
      <c r="K16" s="96" t="s">
        <v>99</v>
      </c>
      <c r="L16" s="103">
        <v>12</v>
      </c>
      <c r="M16" s="96"/>
      <c r="N16" s="176" t="s">
        <v>68</v>
      </c>
      <c r="O16" s="180">
        <v>300</v>
      </c>
      <c r="P16" s="176" t="s">
        <v>69</v>
      </c>
      <c r="Q16" s="176" t="s">
        <v>100</v>
      </c>
      <c r="R16" s="103"/>
      <c r="S16" s="103" t="s">
        <v>101</v>
      </c>
      <c r="T16" s="103" t="s">
        <v>34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ht="13.5" customHeight="1" x14ac:dyDescent="0.45">
      <c r="A17" s="96">
        <v>12</v>
      </c>
      <c r="B17" s="176" t="s">
        <v>22</v>
      </c>
      <c r="C17" s="176" t="s">
        <v>102</v>
      </c>
      <c r="D17" s="176" t="s">
        <v>103</v>
      </c>
      <c r="E17" s="96" t="s">
        <v>91</v>
      </c>
      <c r="F17" s="96" t="s">
        <v>92</v>
      </c>
      <c r="G17" s="233">
        <f t="shared" si="2"/>
        <v>14975.845410628021</v>
      </c>
      <c r="H17" s="338">
        <v>161200</v>
      </c>
      <c r="I17" s="96" t="s">
        <v>104</v>
      </c>
      <c r="J17" s="103" t="s">
        <v>67</v>
      </c>
      <c r="K17" s="96" t="s">
        <v>105</v>
      </c>
      <c r="L17" s="103">
        <v>15</v>
      </c>
      <c r="M17" s="96"/>
      <c r="N17" s="176" t="s">
        <v>31</v>
      </c>
      <c r="O17" s="180">
        <v>1500</v>
      </c>
      <c r="P17" s="176" t="s">
        <v>69</v>
      </c>
      <c r="Q17" s="176" t="s">
        <v>100</v>
      </c>
      <c r="R17" s="103"/>
      <c r="S17" s="103" t="s">
        <v>33</v>
      </c>
      <c r="T17" s="103" t="s">
        <v>34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8" customFormat="1" ht="13.5" customHeight="1" x14ac:dyDescent="0.45">
      <c r="A18" s="96">
        <v>13</v>
      </c>
      <c r="B18" s="176" t="s">
        <v>22</v>
      </c>
      <c r="C18" s="176" t="s">
        <v>106</v>
      </c>
      <c r="D18" s="176" t="s">
        <v>107</v>
      </c>
      <c r="E18" s="96" t="s">
        <v>108</v>
      </c>
      <c r="F18" s="96" t="s">
        <v>109</v>
      </c>
      <c r="G18" s="233">
        <f t="shared" si="2"/>
        <v>2435.9903381642512</v>
      </c>
      <c r="H18" s="338">
        <v>26221</v>
      </c>
      <c r="I18" s="96" t="s">
        <v>110</v>
      </c>
      <c r="J18" s="103" t="s">
        <v>28</v>
      </c>
      <c r="K18" s="96" t="s">
        <v>87</v>
      </c>
      <c r="L18" s="103">
        <v>5</v>
      </c>
      <c r="M18" s="96" t="s">
        <v>42</v>
      </c>
      <c r="N18" s="176" t="s">
        <v>31</v>
      </c>
      <c r="O18" s="180"/>
      <c r="P18" s="176"/>
      <c r="Q18" s="176" t="s">
        <v>57</v>
      </c>
      <c r="R18" s="103" t="s">
        <v>111</v>
      </c>
      <c r="S18" s="103" t="s">
        <v>33</v>
      </c>
      <c r="T18" s="103" t="s">
        <v>112</v>
      </c>
    </row>
    <row r="19" spans="1:58" ht="13.5" customHeight="1" x14ac:dyDescent="0.45">
      <c r="A19" s="96">
        <v>14</v>
      </c>
      <c r="B19" s="176" t="s">
        <v>22</v>
      </c>
      <c r="C19" s="176" t="s">
        <v>113</v>
      </c>
      <c r="D19" s="176" t="s">
        <v>103</v>
      </c>
      <c r="E19" s="96" t="s">
        <v>114</v>
      </c>
      <c r="F19" s="96" t="s">
        <v>38</v>
      </c>
      <c r="G19" s="233">
        <f t="shared" si="2"/>
        <v>13597.640282422892</v>
      </c>
      <c r="H19" s="338">
        <v>146365</v>
      </c>
      <c r="I19" s="96" t="s">
        <v>115</v>
      </c>
      <c r="J19" s="103" t="s">
        <v>67</v>
      </c>
      <c r="K19" s="96" t="s">
        <v>116</v>
      </c>
      <c r="L19" s="103">
        <v>5</v>
      </c>
      <c r="M19" s="96"/>
      <c r="N19" s="176" t="s">
        <v>117</v>
      </c>
      <c r="O19" s="180">
        <v>750</v>
      </c>
      <c r="P19" s="176" t="s">
        <v>69</v>
      </c>
      <c r="Q19" s="176" t="s">
        <v>82</v>
      </c>
      <c r="R19" s="103"/>
      <c r="S19" s="103" t="s">
        <v>33</v>
      </c>
      <c r="T19" s="103" t="s">
        <v>34</v>
      </c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</row>
    <row r="20" spans="1:58" s="8" customFormat="1" ht="13.5" customHeight="1" x14ac:dyDescent="0.45">
      <c r="A20" s="96">
        <v>15</v>
      </c>
      <c r="B20" s="176" t="s">
        <v>22</v>
      </c>
      <c r="C20" s="176" t="s">
        <v>118</v>
      </c>
      <c r="D20" s="176" t="s">
        <v>119</v>
      </c>
      <c r="E20" s="96" t="s">
        <v>120</v>
      </c>
      <c r="F20" s="96" t="s">
        <v>26</v>
      </c>
      <c r="G20" s="233">
        <f t="shared" si="2"/>
        <v>19654.775176514308</v>
      </c>
      <c r="H20" s="338">
        <v>211564</v>
      </c>
      <c r="I20" s="96" t="s">
        <v>121</v>
      </c>
      <c r="J20" s="103" t="s">
        <v>28</v>
      </c>
      <c r="K20" s="96" t="s">
        <v>41</v>
      </c>
      <c r="L20" s="103">
        <v>10</v>
      </c>
      <c r="M20" s="96" t="s">
        <v>42</v>
      </c>
      <c r="N20" s="176" t="s">
        <v>31</v>
      </c>
      <c r="O20" s="180"/>
      <c r="P20" s="176"/>
      <c r="Q20" s="176" t="s">
        <v>122</v>
      </c>
      <c r="R20" s="103" t="s">
        <v>123</v>
      </c>
      <c r="S20" s="103" t="s">
        <v>33</v>
      </c>
      <c r="T20" s="103" t="s">
        <v>34</v>
      </c>
    </row>
    <row r="21" spans="1:58" ht="13.5" customHeight="1" x14ac:dyDescent="0.45">
      <c r="A21" s="96">
        <v>16</v>
      </c>
      <c r="B21" s="176" t="s">
        <v>22</v>
      </c>
      <c r="C21" s="176" t="s">
        <v>124</v>
      </c>
      <c r="D21" s="176" t="s">
        <v>125</v>
      </c>
      <c r="E21" s="96" t="s">
        <v>126</v>
      </c>
      <c r="F21" s="96" t="s">
        <v>38</v>
      </c>
      <c r="G21" s="233">
        <f t="shared" si="2"/>
        <v>3750.0000000000005</v>
      </c>
      <c r="H21" s="338">
        <v>40365</v>
      </c>
      <c r="I21" s="96" t="s">
        <v>127</v>
      </c>
      <c r="J21" s="103" t="s">
        <v>67</v>
      </c>
      <c r="K21" s="96" t="s">
        <v>128</v>
      </c>
      <c r="L21" s="103">
        <v>3</v>
      </c>
      <c r="M21" s="96"/>
      <c r="N21" s="176" t="s">
        <v>31</v>
      </c>
      <c r="O21" s="180"/>
      <c r="P21" s="176" t="s">
        <v>129</v>
      </c>
      <c r="Q21" s="176" t="s">
        <v>100</v>
      </c>
      <c r="R21" s="103"/>
      <c r="S21" s="103" t="s">
        <v>101</v>
      </c>
      <c r="T21" s="103" t="s">
        <v>112</v>
      </c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</row>
    <row r="22" spans="1:58" s="8" customFormat="1" ht="13.5" customHeight="1" x14ac:dyDescent="0.45">
      <c r="A22" s="96">
        <v>17</v>
      </c>
      <c r="B22" s="176" t="s">
        <v>22</v>
      </c>
      <c r="C22" s="176" t="s">
        <v>130</v>
      </c>
      <c r="D22" s="176" t="s">
        <v>131</v>
      </c>
      <c r="E22" s="96" t="s">
        <v>126</v>
      </c>
      <c r="F22" s="96" t="s">
        <v>38</v>
      </c>
      <c r="G22" s="233">
        <f t="shared" si="2"/>
        <v>3134.2437755481237</v>
      </c>
      <c r="H22" s="338">
        <v>33737</v>
      </c>
      <c r="I22" s="96" t="s">
        <v>132</v>
      </c>
      <c r="J22" s="103" t="s">
        <v>28</v>
      </c>
      <c r="K22" s="96" t="s">
        <v>29</v>
      </c>
      <c r="L22" s="103">
        <v>5</v>
      </c>
      <c r="M22" s="96" t="s">
        <v>42</v>
      </c>
      <c r="N22" s="176" t="s">
        <v>31</v>
      </c>
      <c r="O22" s="180"/>
      <c r="P22" s="176"/>
      <c r="Q22" s="176" t="s">
        <v>82</v>
      </c>
      <c r="R22" s="103" t="s">
        <v>133</v>
      </c>
      <c r="S22" s="103" t="s">
        <v>33</v>
      </c>
      <c r="T22" s="103" t="s">
        <v>112</v>
      </c>
    </row>
    <row r="23" spans="1:58" s="146" customFormat="1" ht="12.75" customHeight="1" x14ac:dyDescent="0.45">
      <c r="A23" s="107">
        <v>18</v>
      </c>
      <c r="B23" s="107" t="s">
        <v>22</v>
      </c>
      <c r="C23" s="274" t="s">
        <v>134</v>
      </c>
      <c r="D23" s="107" t="s">
        <v>135</v>
      </c>
      <c r="E23" s="107" t="s">
        <v>136</v>
      </c>
      <c r="F23" s="107" t="s">
        <v>126</v>
      </c>
      <c r="G23" s="106">
        <v>5441</v>
      </c>
      <c r="H23" s="106">
        <f>G23*10.764</f>
        <v>58566.923999999999</v>
      </c>
      <c r="I23" s="107" t="s">
        <v>137</v>
      </c>
      <c r="J23" s="106" t="s">
        <v>40</v>
      </c>
      <c r="K23" s="106"/>
      <c r="L23" s="106">
        <v>5</v>
      </c>
      <c r="M23" s="275"/>
      <c r="N23" s="276"/>
      <c r="O23" s="320"/>
      <c r="P23" s="218" t="s">
        <v>138</v>
      </c>
      <c r="Q23" s="277"/>
      <c r="R23" s="162" t="s">
        <v>139</v>
      </c>
      <c r="S23" s="277"/>
      <c r="T23" s="277"/>
    </row>
    <row r="24" spans="1:58" s="87" customFormat="1" ht="13.5" customHeight="1" x14ac:dyDescent="0.45">
      <c r="A24" s="96">
        <v>19</v>
      </c>
      <c r="B24" s="176" t="s">
        <v>22</v>
      </c>
      <c r="C24" s="176" t="s">
        <v>63</v>
      </c>
      <c r="D24" s="176" t="s">
        <v>140</v>
      </c>
      <c r="E24" s="96" t="s">
        <v>141</v>
      </c>
      <c r="F24" s="96" t="s">
        <v>38</v>
      </c>
      <c r="G24" s="233">
        <f t="shared" ref="G24:G27" si="3">H24/10.764</f>
        <v>8264.2140468227426</v>
      </c>
      <c r="H24" s="338">
        <v>88956</v>
      </c>
      <c r="I24" s="96" t="s">
        <v>142</v>
      </c>
      <c r="J24" s="103" t="s">
        <v>67</v>
      </c>
      <c r="K24" s="96" t="s">
        <v>29</v>
      </c>
      <c r="L24" s="103">
        <v>5</v>
      </c>
      <c r="M24" s="96"/>
      <c r="N24" s="176" t="s">
        <v>68</v>
      </c>
      <c r="O24" s="180">
        <v>500</v>
      </c>
      <c r="P24" s="176" t="s">
        <v>43</v>
      </c>
      <c r="Q24" s="176" t="s">
        <v>70</v>
      </c>
      <c r="R24" s="103"/>
      <c r="S24" s="103" t="s">
        <v>33</v>
      </c>
      <c r="T24" s="103" t="s">
        <v>34</v>
      </c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</row>
    <row r="25" spans="1:58" s="8" customFormat="1" ht="13.5" customHeight="1" x14ac:dyDescent="0.45">
      <c r="A25" s="96">
        <v>20</v>
      </c>
      <c r="B25" s="176" t="s">
        <v>22</v>
      </c>
      <c r="C25" s="176" t="s">
        <v>143</v>
      </c>
      <c r="D25" s="176" t="s">
        <v>144</v>
      </c>
      <c r="E25" s="96" t="s">
        <v>141</v>
      </c>
      <c r="F25" s="96" t="s">
        <v>38</v>
      </c>
      <c r="G25" s="233">
        <f t="shared" si="3"/>
        <v>15013.935340022297</v>
      </c>
      <c r="H25" s="338">
        <v>161610</v>
      </c>
      <c r="I25" s="96" t="s">
        <v>145</v>
      </c>
      <c r="J25" s="103" t="s">
        <v>40</v>
      </c>
      <c r="K25" s="96" t="s">
        <v>146</v>
      </c>
      <c r="L25" s="103">
        <v>5</v>
      </c>
      <c r="M25" s="96" t="s">
        <v>147</v>
      </c>
      <c r="N25" s="176" t="s">
        <v>31</v>
      </c>
      <c r="O25" s="180"/>
      <c r="P25" s="176"/>
      <c r="Q25" s="176" t="s">
        <v>122</v>
      </c>
      <c r="R25" s="103"/>
      <c r="S25" s="103" t="s">
        <v>33</v>
      </c>
      <c r="T25" s="103" t="s">
        <v>34</v>
      </c>
    </row>
    <row r="26" spans="1:58" s="8" customFormat="1" ht="13.5" customHeight="1" x14ac:dyDescent="0.45">
      <c r="A26" s="96">
        <v>21</v>
      </c>
      <c r="B26" s="176" t="s">
        <v>22</v>
      </c>
      <c r="C26" s="176" t="s">
        <v>148</v>
      </c>
      <c r="D26" s="176" t="s">
        <v>149</v>
      </c>
      <c r="E26" s="96" t="s">
        <v>141</v>
      </c>
      <c r="F26" s="96" t="s">
        <v>38</v>
      </c>
      <c r="G26" s="233">
        <f t="shared" si="3"/>
        <v>9720.7357859531785</v>
      </c>
      <c r="H26" s="338">
        <v>104634</v>
      </c>
      <c r="I26" s="96" t="s">
        <v>150</v>
      </c>
      <c r="J26" s="103" t="s">
        <v>67</v>
      </c>
      <c r="K26" s="96" t="s">
        <v>87</v>
      </c>
      <c r="L26" s="103">
        <v>5</v>
      </c>
      <c r="M26" s="96" t="s">
        <v>42</v>
      </c>
      <c r="N26" s="176" t="s">
        <v>31</v>
      </c>
      <c r="O26" s="180"/>
      <c r="P26" s="176"/>
      <c r="Q26" s="176" t="s">
        <v>70</v>
      </c>
      <c r="R26" s="103"/>
      <c r="S26" s="103" t="s">
        <v>33</v>
      </c>
      <c r="T26" s="103" t="s">
        <v>34</v>
      </c>
    </row>
    <row r="27" spans="1:58" s="8" customFormat="1" ht="13.5" customHeight="1" x14ac:dyDescent="0.45">
      <c r="A27" s="96">
        <v>22</v>
      </c>
      <c r="B27" s="176" t="s">
        <v>22</v>
      </c>
      <c r="C27" s="176" t="s">
        <v>151</v>
      </c>
      <c r="D27" s="176" t="s">
        <v>152</v>
      </c>
      <c r="E27" s="96" t="s">
        <v>141</v>
      </c>
      <c r="F27" s="96" t="s">
        <v>92</v>
      </c>
      <c r="G27" s="233">
        <f t="shared" si="3"/>
        <v>2876.1612783351916</v>
      </c>
      <c r="H27" s="338">
        <v>30959</v>
      </c>
      <c r="I27" s="96" t="s">
        <v>153</v>
      </c>
      <c r="J27" s="103" t="s">
        <v>40</v>
      </c>
      <c r="K27" s="96" t="s">
        <v>49</v>
      </c>
      <c r="L27" s="103">
        <v>5</v>
      </c>
      <c r="M27" s="96" t="s">
        <v>30</v>
      </c>
      <c r="N27" s="176" t="s">
        <v>31</v>
      </c>
      <c r="O27" s="180"/>
      <c r="P27" s="176"/>
      <c r="Q27" s="176" t="s">
        <v>44</v>
      </c>
      <c r="R27" s="103" t="s">
        <v>154</v>
      </c>
      <c r="S27" s="103" t="s">
        <v>33</v>
      </c>
      <c r="T27" s="103" t="s">
        <v>112</v>
      </c>
    </row>
    <row r="28" spans="1:58" ht="13.5" customHeight="1" x14ac:dyDescent="0.45">
      <c r="A28" s="96">
        <v>23</v>
      </c>
      <c r="B28" s="176" t="s">
        <v>22</v>
      </c>
      <c r="C28" s="176" t="s">
        <v>155</v>
      </c>
      <c r="D28" s="176" t="s">
        <v>156</v>
      </c>
      <c r="E28" s="96" t="s">
        <v>157</v>
      </c>
      <c r="F28" s="96" t="s">
        <v>157</v>
      </c>
      <c r="G28" s="233">
        <f t="shared" ref="G28:G47" si="4">H28/10.764</f>
        <v>6968.0416202155338</v>
      </c>
      <c r="H28" s="338">
        <v>75004</v>
      </c>
      <c r="I28" s="96" t="s">
        <v>60</v>
      </c>
      <c r="J28" s="103" t="s">
        <v>67</v>
      </c>
      <c r="K28" s="96" t="s">
        <v>99</v>
      </c>
      <c r="L28" s="103">
        <v>10</v>
      </c>
      <c r="M28" s="96"/>
      <c r="N28" s="176" t="s">
        <v>31</v>
      </c>
      <c r="O28" s="180">
        <v>1000</v>
      </c>
      <c r="P28" s="176" t="s">
        <v>43</v>
      </c>
      <c r="Q28" s="200" t="s">
        <v>158</v>
      </c>
      <c r="R28" s="103"/>
      <c r="S28" s="103" t="s">
        <v>33</v>
      </c>
      <c r="T28" s="103" t="s">
        <v>34</v>
      </c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</row>
    <row r="29" spans="1:58" ht="13.5" customHeight="1" x14ac:dyDescent="0.45">
      <c r="A29" s="96">
        <v>24</v>
      </c>
      <c r="B29" s="176" t="s">
        <v>22</v>
      </c>
      <c r="C29" s="176" t="s">
        <v>159</v>
      </c>
      <c r="D29" s="176" t="s">
        <v>160</v>
      </c>
      <c r="E29" s="96" t="s">
        <v>157</v>
      </c>
      <c r="F29" s="96" t="s">
        <v>157</v>
      </c>
      <c r="G29" s="233">
        <f t="shared" si="4"/>
        <v>6599.9628390932739</v>
      </c>
      <c r="H29" s="338">
        <v>71042</v>
      </c>
      <c r="I29" s="96" t="s">
        <v>161</v>
      </c>
      <c r="J29" s="103" t="s">
        <v>67</v>
      </c>
      <c r="K29" s="96" t="s">
        <v>162</v>
      </c>
      <c r="L29" s="103">
        <v>10</v>
      </c>
      <c r="M29" s="96"/>
      <c r="N29" s="176" t="s">
        <v>31</v>
      </c>
      <c r="O29" s="180">
        <v>250</v>
      </c>
      <c r="P29" s="176" t="s">
        <v>43</v>
      </c>
      <c r="Q29" s="176" t="s">
        <v>57</v>
      </c>
      <c r="R29" s="103"/>
      <c r="S29" s="103" t="s">
        <v>33</v>
      </c>
      <c r="T29" s="103" t="s">
        <v>34</v>
      </c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</row>
    <row r="30" spans="1:58" ht="13.5" customHeight="1" x14ac:dyDescent="0.45">
      <c r="A30" s="96">
        <v>25</v>
      </c>
      <c r="B30" s="176" t="s">
        <v>22</v>
      </c>
      <c r="C30" s="176" t="s">
        <v>163</v>
      </c>
      <c r="D30" s="176" t="s">
        <v>160</v>
      </c>
      <c r="E30" s="96" t="s">
        <v>157</v>
      </c>
      <c r="F30" s="96" t="s">
        <v>157</v>
      </c>
      <c r="G30" s="233">
        <f t="shared" si="4"/>
        <v>6750</v>
      </c>
      <c r="H30" s="338">
        <v>72657</v>
      </c>
      <c r="I30" s="96" t="s">
        <v>164</v>
      </c>
      <c r="J30" s="103" t="s">
        <v>67</v>
      </c>
      <c r="K30" s="96" t="s">
        <v>128</v>
      </c>
      <c r="L30" s="103">
        <v>5</v>
      </c>
      <c r="M30" s="96"/>
      <c r="N30" s="176" t="s">
        <v>31</v>
      </c>
      <c r="O30" s="180">
        <v>500</v>
      </c>
      <c r="P30" s="176" t="s">
        <v>43</v>
      </c>
      <c r="Q30" s="200" t="s">
        <v>158</v>
      </c>
      <c r="R30" s="103"/>
      <c r="S30" s="103" t="s">
        <v>33</v>
      </c>
      <c r="T30" s="103" t="s">
        <v>34</v>
      </c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</row>
    <row r="31" spans="1:58" s="82" customFormat="1" ht="13.5" customHeight="1" x14ac:dyDescent="0.45">
      <c r="A31" s="96">
        <v>26</v>
      </c>
      <c r="B31" s="176" t="s">
        <v>22</v>
      </c>
      <c r="C31" s="176" t="s">
        <v>165</v>
      </c>
      <c r="D31" s="176" t="s">
        <v>160</v>
      </c>
      <c r="E31" s="96" t="s">
        <v>157</v>
      </c>
      <c r="F31" s="96" t="s">
        <v>157</v>
      </c>
      <c r="G31" s="233">
        <f t="shared" si="4"/>
        <v>7875.0464511334085</v>
      </c>
      <c r="H31" s="338">
        <v>84767</v>
      </c>
      <c r="I31" s="96" t="s">
        <v>166</v>
      </c>
      <c r="J31" s="103" t="s">
        <v>67</v>
      </c>
      <c r="K31" s="96" t="s">
        <v>167</v>
      </c>
      <c r="L31" s="103">
        <v>5</v>
      </c>
      <c r="M31" s="96"/>
      <c r="N31" s="176" t="s">
        <v>31</v>
      </c>
      <c r="O31" s="180">
        <v>500</v>
      </c>
      <c r="P31" s="176" t="s">
        <v>43</v>
      </c>
      <c r="Q31" s="176" t="s">
        <v>57</v>
      </c>
      <c r="R31" s="103"/>
      <c r="S31" s="103" t="s">
        <v>33</v>
      </c>
      <c r="T31" s="103" t="s">
        <v>34</v>
      </c>
    </row>
    <row r="32" spans="1:58" s="82" customFormat="1" ht="13.5" customHeight="1" x14ac:dyDescent="0.35">
      <c r="A32" s="96">
        <v>27</v>
      </c>
      <c r="B32" s="176" t="s">
        <v>22</v>
      </c>
      <c r="C32" s="176" t="s">
        <v>168</v>
      </c>
      <c r="D32" s="176" t="s">
        <v>169</v>
      </c>
      <c r="E32" s="96" t="s">
        <v>157</v>
      </c>
      <c r="F32" s="96" t="s">
        <v>157</v>
      </c>
      <c r="G32" s="233">
        <f t="shared" si="4"/>
        <v>10849.962839093274</v>
      </c>
      <c r="H32" s="338">
        <v>116789</v>
      </c>
      <c r="I32" s="96" t="s">
        <v>170</v>
      </c>
      <c r="J32" s="103" t="s">
        <v>67</v>
      </c>
      <c r="K32" s="96" t="s">
        <v>105</v>
      </c>
      <c r="L32" s="103">
        <v>5</v>
      </c>
      <c r="M32" s="96"/>
      <c r="N32" s="176" t="s">
        <v>31</v>
      </c>
      <c r="O32" s="180">
        <v>500</v>
      </c>
      <c r="P32" s="176" t="s">
        <v>43</v>
      </c>
      <c r="Q32" s="200" t="s">
        <v>158</v>
      </c>
      <c r="R32" s="103"/>
      <c r="S32" s="103" t="s">
        <v>33</v>
      </c>
      <c r="T32" s="103" t="s">
        <v>34</v>
      </c>
    </row>
    <row r="33" spans="1:20" s="82" customFormat="1" ht="13.5" customHeight="1" x14ac:dyDescent="0.35">
      <c r="A33" s="96">
        <v>28</v>
      </c>
      <c r="B33" s="176" t="s">
        <v>22</v>
      </c>
      <c r="C33" s="176" t="s">
        <v>171</v>
      </c>
      <c r="D33" s="176" t="s">
        <v>160</v>
      </c>
      <c r="E33" s="96" t="s">
        <v>157</v>
      </c>
      <c r="F33" s="96" t="s">
        <v>157</v>
      </c>
      <c r="G33" s="233">
        <f t="shared" si="4"/>
        <v>16832.125603864737</v>
      </c>
      <c r="H33" s="338">
        <v>181181</v>
      </c>
      <c r="I33" s="96" t="s">
        <v>60</v>
      </c>
      <c r="J33" s="103" t="s">
        <v>67</v>
      </c>
      <c r="K33" s="96" t="s">
        <v>172</v>
      </c>
      <c r="L33" s="103">
        <v>10</v>
      </c>
      <c r="M33" s="96"/>
      <c r="N33" s="176" t="s">
        <v>31</v>
      </c>
      <c r="O33" s="180">
        <v>2500</v>
      </c>
      <c r="P33" s="176" t="s">
        <v>43</v>
      </c>
      <c r="Q33" s="200" t="s">
        <v>158</v>
      </c>
      <c r="R33" s="103"/>
      <c r="S33" s="103" t="s">
        <v>33</v>
      </c>
      <c r="T33" s="103" t="s">
        <v>34</v>
      </c>
    </row>
    <row r="34" spans="1:20" s="8" customFormat="1" ht="13.5" customHeight="1" x14ac:dyDescent="0.45">
      <c r="A34" s="96">
        <v>29</v>
      </c>
      <c r="B34" s="176" t="s">
        <v>22</v>
      </c>
      <c r="C34" s="176" t="s">
        <v>173</v>
      </c>
      <c r="D34" s="176" t="s">
        <v>169</v>
      </c>
      <c r="E34" s="96" t="s">
        <v>157</v>
      </c>
      <c r="F34" s="96" t="s">
        <v>157</v>
      </c>
      <c r="G34" s="233">
        <f t="shared" si="4"/>
        <v>10849.962839093274</v>
      </c>
      <c r="H34" s="338">
        <v>116789</v>
      </c>
      <c r="I34" s="96" t="s">
        <v>174</v>
      </c>
      <c r="J34" s="103" t="s">
        <v>67</v>
      </c>
      <c r="K34" s="96" t="s">
        <v>49</v>
      </c>
      <c r="L34" s="103">
        <v>5</v>
      </c>
      <c r="M34" s="96" t="s">
        <v>42</v>
      </c>
      <c r="N34" s="176" t="s">
        <v>31</v>
      </c>
      <c r="O34" s="180"/>
      <c r="P34" s="176"/>
      <c r="Q34" s="176" t="s">
        <v>44</v>
      </c>
      <c r="R34" s="103"/>
      <c r="S34" s="103" t="s">
        <v>33</v>
      </c>
      <c r="T34" s="103" t="s">
        <v>34</v>
      </c>
    </row>
    <row r="35" spans="1:20" s="82" customFormat="1" ht="13.5" customHeight="1" x14ac:dyDescent="0.35">
      <c r="A35" s="96">
        <v>30</v>
      </c>
      <c r="B35" s="176" t="s">
        <v>22</v>
      </c>
      <c r="C35" s="176" t="s">
        <v>175</v>
      </c>
      <c r="D35" s="176" t="s">
        <v>176</v>
      </c>
      <c r="E35" s="96" t="s">
        <v>177</v>
      </c>
      <c r="F35" s="96" t="s">
        <v>177</v>
      </c>
      <c r="G35" s="233">
        <f t="shared" si="4"/>
        <v>5620.9587513935339</v>
      </c>
      <c r="H35" s="338">
        <v>60504</v>
      </c>
      <c r="I35" s="96" t="s">
        <v>60</v>
      </c>
      <c r="J35" s="103" t="s">
        <v>67</v>
      </c>
      <c r="K35" s="96" t="s">
        <v>105</v>
      </c>
      <c r="L35" s="103">
        <v>10</v>
      </c>
      <c r="M35" s="96"/>
      <c r="N35" s="176" t="s">
        <v>31</v>
      </c>
      <c r="O35" s="180">
        <v>2500</v>
      </c>
      <c r="P35" s="176" t="s">
        <v>69</v>
      </c>
      <c r="Q35" s="200" t="s">
        <v>158</v>
      </c>
      <c r="R35" s="103"/>
      <c r="S35" s="103" t="s">
        <v>33</v>
      </c>
      <c r="T35" s="103" t="s">
        <v>34</v>
      </c>
    </row>
    <row r="36" spans="1:20" s="82" customFormat="1" ht="13.5" customHeight="1" x14ac:dyDescent="0.35">
      <c r="A36" s="96">
        <v>31</v>
      </c>
      <c r="B36" s="176" t="s">
        <v>22</v>
      </c>
      <c r="C36" s="176" t="s">
        <v>178</v>
      </c>
      <c r="D36" s="176" t="s">
        <v>176</v>
      </c>
      <c r="E36" s="96" t="s">
        <v>177</v>
      </c>
      <c r="F36" s="96" t="s">
        <v>177</v>
      </c>
      <c r="G36" s="233">
        <f t="shared" si="4"/>
        <v>2419.4537346711263</v>
      </c>
      <c r="H36" s="338">
        <v>26043</v>
      </c>
      <c r="I36" s="96" t="s">
        <v>179</v>
      </c>
      <c r="J36" s="103" t="s">
        <v>67</v>
      </c>
      <c r="K36" s="96" t="s">
        <v>180</v>
      </c>
      <c r="L36" s="103">
        <v>3</v>
      </c>
      <c r="M36" s="96"/>
      <c r="N36" s="176" t="s">
        <v>31</v>
      </c>
      <c r="O36" s="180">
        <v>300</v>
      </c>
      <c r="P36" s="176" t="s">
        <v>129</v>
      </c>
      <c r="Q36" s="200" t="s">
        <v>158</v>
      </c>
      <c r="R36" s="103"/>
      <c r="S36" s="103" t="s">
        <v>33</v>
      </c>
      <c r="T36" s="103" t="s">
        <v>34</v>
      </c>
    </row>
    <row r="37" spans="1:20" s="82" customFormat="1" ht="13.5" customHeight="1" x14ac:dyDescent="0.45">
      <c r="A37" s="96">
        <v>32</v>
      </c>
      <c r="B37" s="176" t="s">
        <v>22</v>
      </c>
      <c r="C37" s="176" t="s">
        <v>181</v>
      </c>
      <c r="D37" s="176" t="s">
        <v>182</v>
      </c>
      <c r="E37" s="96" t="s">
        <v>177</v>
      </c>
      <c r="F37" s="96" t="s">
        <v>177</v>
      </c>
      <c r="G37" s="233">
        <f t="shared" si="4"/>
        <v>24828.316610925307</v>
      </c>
      <c r="H37" s="338">
        <v>267252</v>
      </c>
      <c r="I37" s="96" t="s">
        <v>183</v>
      </c>
      <c r="J37" s="103" t="s">
        <v>54</v>
      </c>
      <c r="K37" s="96" t="s">
        <v>29</v>
      </c>
      <c r="L37" s="103">
        <v>10</v>
      </c>
      <c r="M37" s="96" t="s">
        <v>42</v>
      </c>
      <c r="N37" s="176" t="s">
        <v>31</v>
      </c>
      <c r="O37" s="180"/>
      <c r="P37" s="176"/>
      <c r="Q37" s="176" t="s">
        <v>82</v>
      </c>
      <c r="R37" s="103" t="s">
        <v>123</v>
      </c>
      <c r="S37" s="103" t="s">
        <v>33</v>
      </c>
      <c r="T37" s="103" t="s">
        <v>34</v>
      </c>
    </row>
    <row r="38" spans="1:20" s="8" customFormat="1" ht="13.5" customHeight="1" x14ac:dyDescent="0.45">
      <c r="A38" s="96">
        <v>33</v>
      </c>
      <c r="B38" s="176" t="s">
        <v>22</v>
      </c>
      <c r="C38" s="176" t="s">
        <v>184</v>
      </c>
      <c r="D38" s="176" t="s">
        <v>185</v>
      </c>
      <c r="E38" s="96" t="s">
        <v>177</v>
      </c>
      <c r="F38" s="96" t="s">
        <v>177</v>
      </c>
      <c r="G38" s="233">
        <f t="shared" si="4"/>
        <v>13191.37866963954</v>
      </c>
      <c r="H38" s="338">
        <v>141992</v>
      </c>
      <c r="I38" s="96" t="s">
        <v>186</v>
      </c>
      <c r="J38" s="103" t="s">
        <v>40</v>
      </c>
      <c r="K38" s="96" t="s">
        <v>99</v>
      </c>
      <c r="L38" s="103">
        <v>10</v>
      </c>
      <c r="M38" s="96" t="s">
        <v>30</v>
      </c>
      <c r="N38" s="176" t="s">
        <v>31</v>
      </c>
      <c r="O38" s="180"/>
      <c r="P38" s="176"/>
      <c r="Q38" s="176" t="s">
        <v>44</v>
      </c>
      <c r="R38" s="103" t="s">
        <v>187</v>
      </c>
      <c r="S38" s="103" t="s">
        <v>33</v>
      </c>
      <c r="T38" s="103" t="s">
        <v>34</v>
      </c>
    </row>
    <row r="39" spans="1:20" s="8" customFormat="1" ht="13.5" customHeight="1" x14ac:dyDescent="0.45">
      <c r="A39" s="96">
        <v>34</v>
      </c>
      <c r="B39" s="176" t="s">
        <v>22</v>
      </c>
      <c r="C39" s="176" t="s">
        <v>188</v>
      </c>
      <c r="D39" s="176" t="s">
        <v>185</v>
      </c>
      <c r="E39" s="96" t="s">
        <v>177</v>
      </c>
      <c r="F39" s="96" t="s">
        <v>177</v>
      </c>
      <c r="G39" s="233">
        <f>H39/10.764</f>
        <v>5574.1360089186182</v>
      </c>
      <c r="H39" s="338">
        <v>60000</v>
      </c>
      <c r="I39" s="96" t="s">
        <v>189</v>
      </c>
      <c r="J39" s="103" t="s">
        <v>40</v>
      </c>
      <c r="K39" s="96"/>
      <c r="L39" s="103">
        <v>5</v>
      </c>
      <c r="M39" s="96"/>
      <c r="N39" s="176"/>
      <c r="O39" s="180"/>
      <c r="P39" s="176"/>
      <c r="Q39" s="176"/>
      <c r="R39" s="103"/>
      <c r="S39" s="103"/>
      <c r="T39" s="103"/>
    </row>
    <row r="40" spans="1:20" s="8" customFormat="1" ht="13.5" customHeight="1" x14ac:dyDescent="0.45">
      <c r="A40" s="96">
        <v>35</v>
      </c>
      <c r="B40" s="176" t="s">
        <v>22</v>
      </c>
      <c r="C40" s="176" t="s">
        <v>190</v>
      </c>
      <c r="D40" s="176" t="s">
        <v>191</v>
      </c>
      <c r="E40" s="96" t="s">
        <v>192</v>
      </c>
      <c r="F40" s="96" t="s">
        <v>109</v>
      </c>
      <c r="G40" s="233">
        <f t="shared" si="4"/>
        <v>14483.927907840953</v>
      </c>
      <c r="H40" s="338">
        <v>155905</v>
      </c>
      <c r="I40" s="96" t="s">
        <v>60</v>
      </c>
      <c r="J40" s="103" t="s">
        <v>54</v>
      </c>
      <c r="K40" s="96" t="s">
        <v>29</v>
      </c>
      <c r="L40" s="103">
        <v>7</v>
      </c>
      <c r="M40" s="96" t="s">
        <v>193</v>
      </c>
      <c r="N40" s="176" t="s">
        <v>31</v>
      </c>
      <c r="O40" s="180"/>
      <c r="P40" s="176"/>
      <c r="Q40" s="176" t="s">
        <v>194</v>
      </c>
      <c r="R40" s="103"/>
      <c r="S40" s="103" t="s">
        <v>33</v>
      </c>
      <c r="T40" s="103" t="s">
        <v>34</v>
      </c>
    </row>
    <row r="41" spans="1:20" s="82" customFormat="1" ht="13.5" customHeight="1" x14ac:dyDescent="0.35">
      <c r="A41" s="96">
        <v>36</v>
      </c>
      <c r="B41" s="176" t="s">
        <v>22</v>
      </c>
      <c r="C41" s="176" t="s">
        <v>195</v>
      </c>
      <c r="D41" s="176" t="s">
        <v>196</v>
      </c>
      <c r="E41" s="96" t="s">
        <v>197</v>
      </c>
      <c r="F41" s="96" t="s">
        <v>198</v>
      </c>
      <c r="G41" s="233">
        <f t="shared" si="4"/>
        <v>28180.509104422148</v>
      </c>
      <c r="H41" s="338">
        <v>303335</v>
      </c>
      <c r="I41" s="96" t="s">
        <v>199</v>
      </c>
      <c r="J41" s="103" t="s">
        <v>67</v>
      </c>
      <c r="K41" s="96" t="s">
        <v>128</v>
      </c>
      <c r="L41" s="103">
        <v>10</v>
      </c>
      <c r="M41" s="96"/>
      <c r="N41" s="176" t="s">
        <v>31</v>
      </c>
      <c r="O41" s="180">
        <v>2000</v>
      </c>
      <c r="P41" s="176" t="s">
        <v>69</v>
      </c>
      <c r="Q41" s="200" t="s">
        <v>158</v>
      </c>
      <c r="R41" s="103"/>
      <c r="S41" s="103" t="s">
        <v>33</v>
      </c>
      <c r="T41" s="103" t="s">
        <v>34</v>
      </c>
    </row>
    <row r="42" spans="1:20" s="8" customFormat="1" ht="13.5" customHeight="1" x14ac:dyDescent="0.45">
      <c r="A42" s="96">
        <v>37</v>
      </c>
      <c r="B42" s="176" t="s">
        <v>22</v>
      </c>
      <c r="C42" s="176" t="s">
        <v>200</v>
      </c>
      <c r="D42" s="176" t="s">
        <v>196</v>
      </c>
      <c r="E42" s="96" t="s">
        <v>197</v>
      </c>
      <c r="F42" s="96" t="s">
        <v>198</v>
      </c>
      <c r="G42" s="233">
        <f t="shared" si="4"/>
        <v>14218.877740616872</v>
      </c>
      <c r="H42" s="338">
        <v>153052</v>
      </c>
      <c r="I42" s="96" t="s">
        <v>201</v>
      </c>
      <c r="J42" s="103" t="s">
        <v>40</v>
      </c>
      <c r="K42" s="96" t="s">
        <v>29</v>
      </c>
      <c r="L42" s="103">
        <v>5</v>
      </c>
      <c r="M42" s="96" t="s">
        <v>202</v>
      </c>
      <c r="N42" s="176" t="s">
        <v>68</v>
      </c>
      <c r="O42" s="180"/>
      <c r="P42" s="176"/>
      <c r="Q42" s="176" t="s">
        <v>100</v>
      </c>
      <c r="R42" s="103" t="s">
        <v>154</v>
      </c>
      <c r="S42" s="103" t="s">
        <v>33</v>
      </c>
      <c r="T42" s="103" t="s">
        <v>34</v>
      </c>
    </row>
    <row r="43" spans="1:20" s="82" customFormat="1" ht="13.5" customHeight="1" x14ac:dyDescent="0.35">
      <c r="A43" s="96">
        <v>38</v>
      </c>
      <c r="B43" s="176" t="s">
        <v>22</v>
      </c>
      <c r="C43" s="176" t="s">
        <v>195</v>
      </c>
      <c r="D43" s="176" t="s">
        <v>196</v>
      </c>
      <c r="E43" s="96" t="s">
        <v>197</v>
      </c>
      <c r="F43" s="96" t="s">
        <v>198</v>
      </c>
      <c r="G43" s="233">
        <f t="shared" si="4"/>
        <v>25448.346339650689</v>
      </c>
      <c r="H43" s="338">
        <v>273926</v>
      </c>
      <c r="I43" s="96" t="s">
        <v>203</v>
      </c>
      <c r="J43" s="103" t="s">
        <v>67</v>
      </c>
      <c r="K43" s="96" t="s">
        <v>128</v>
      </c>
      <c r="L43" s="103">
        <v>10</v>
      </c>
      <c r="M43" s="96"/>
      <c r="N43" s="176" t="s">
        <v>31</v>
      </c>
      <c r="O43" s="180">
        <v>2000</v>
      </c>
      <c r="P43" s="176" t="s">
        <v>69</v>
      </c>
      <c r="Q43" s="200" t="s">
        <v>158</v>
      </c>
      <c r="R43" s="103"/>
      <c r="S43" s="103" t="s">
        <v>33</v>
      </c>
      <c r="T43" s="103" t="s">
        <v>34</v>
      </c>
    </row>
    <row r="44" spans="1:20" s="82" customFormat="1" ht="13.5" customHeight="1" x14ac:dyDescent="0.45">
      <c r="A44" s="96">
        <v>39</v>
      </c>
      <c r="B44" s="176" t="s">
        <v>22</v>
      </c>
      <c r="C44" s="176" t="s">
        <v>204</v>
      </c>
      <c r="D44" s="176" t="s">
        <v>205</v>
      </c>
      <c r="E44" s="96" t="s">
        <v>206</v>
      </c>
      <c r="F44" s="96" t="s">
        <v>207</v>
      </c>
      <c r="G44" s="233">
        <f t="shared" si="4"/>
        <v>6627.3690078037907</v>
      </c>
      <c r="H44" s="338">
        <v>71337</v>
      </c>
      <c r="I44" s="96" t="s">
        <v>208</v>
      </c>
      <c r="J44" s="103" t="s">
        <v>67</v>
      </c>
      <c r="K44" s="96" t="s">
        <v>99</v>
      </c>
      <c r="L44" s="103">
        <v>5</v>
      </c>
      <c r="M44" s="96" t="s">
        <v>209</v>
      </c>
      <c r="N44" s="176" t="s">
        <v>31</v>
      </c>
      <c r="O44" s="180"/>
      <c r="P44" s="176" t="s">
        <v>43</v>
      </c>
      <c r="Q44" s="176" t="s">
        <v>57</v>
      </c>
      <c r="R44" s="103"/>
      <c r="S44" s="103" t="s">
        <v>33</v>
      </c>
      <c r="T44" s="103" t="s">
        <v>34</v>
      </c>
    </row>
    <row r="45" spans="1:20" s="82" customFormat="1" ht="13.5" customHeight="1" x14ac:dyDescent="0.45">
      <c r="A45" s="96">
        <v>40</v>
      </c>
      <c r="B45" s="176" t="s">
        <v>22</v>
      </c>
      <c r="C45" s="176" t="s">
        <v>210</v>
      </c>
      <c r="D45" s="176" t="s">
        <v>205</v>
      </c>
      <c r="E45" s="96" t="s">
        <v>206</v>
      </c>
      <c r="F45" s="96" t="s">
        <v>207</v>
      </c>
      <c r="G45" s="233">
        <f t="shared" si="4"/>
        <v>20647.993311036789</v>
      </c>
      <c r="H45" s="338">
        <v>222255</v>
      </c>
      <c r="I45" s="96" t="s">
        <v>211</v>
      </c>
      <c r="J45" s="103" t="s">
        <v>54</v>
      </c>
      <c r="K45" s="96" t="s">
        <v>105</v>
      </c>
      <c r="L45" s="103">
        <v>11</v>
      </c>
      <c r="M45" s="218" t="s">
        <v>68</v>
      </c>
      <c r="N45" s="176" t="s">
        <v>68</v>
      </c>
      <c r="O45" s="180"/>
      <c r="P45" s="176"/>
      <c r="Q45" s="176" t="s">
        <v>100</v>
      </c>
      <c r="R45" s="103"/>
      <c r="S45" s="103" t="s">
        <v>33</v>
      </c>
      <c r="T45" s="103" t="s">
        <v>34</v>
      </c>
    </row>
    <row r="46" spans="1:20" s="82" customFormat="1" ht="13.5" customHeight="1" x14ac:dyDescent="0.45">
      <c r="A46" s="96">
        <v>41</v>
      </c>
      <c r="B46" s="176" t="s">
        <v>22</v>
      </c>
      <c r="C46" s="176" t="s">
        <v>212</v>
      </c>
      <c r="D46" s="176" t="s">
        <v>213</v>
      </c>
      <c r="E46" s="96" t="s">
        <v>206</v>
      </c>
      <c r="F46" s="96" t="s">
        <v>207</v>
      </c>
      <c r="G46" s="233">
        <f t="shared" si="4"/>
        <v>10435.990338164253</v>
      </c>
      <c r="H46" s="338">
        <v>112333</v>
      </c>
      <c r="I46" s="96" t="s">
        <v>214</v>
      </c>
      <c r="J46" s="103" t="s">
        <v>54</v>
      </c>
      <c r="K46" s="96" t="s">
        <v>105</v>
      </c>
      <c r="L46" s="103">
        <v>7</v>
      </c>
      <c r="M46" s="96" t="s">
        <v>42</v>
      </c>
      <c r="N46" s="176" t="s">
        <v>31</v>
      </c>
      <c r="O46" s="180"/>
      <c r="P46" s="176" t="s">
        <v>43</v>
      </c>
      <c r="Q46" s="176" t="s">
        <v>57</v>
      </c>
      <c r="R46" s="103"/>
      <c r="S46" s="103" t="s">
        <v>33</v>
      </c>
      <c r="T46" s="103" t="s">
        <v>34</v>
      </c>
    </row>
    <row r="47" spans="1:20" s="82" customFormat="1" ht="13.5" customHeight="1" x14ac:dyDescent="0.45">
      <c r="A47" s="96">
        <v>42</v>
      </c>
      <c r="B47" s="176" t="s">
        <v>22</v>
      </c>
      <c r="C47" s="176" t="s">
        <v>215</v>
      </c>
      <c r="D47" s="176" t="s">
        <v>213</v>
      </c>
      <c r="E47" s="96" t="s">
        <v>206</v>
      </c>
      <c r="F47" s="96" t="s">
        <v>207</v>
      </c>
      <c r="G47" s="233">
        <f t="shared" si="4"/>
        <v>14363.991081382386</v>
      </c>
      <c r="H47" s="338">
        <v>154614</v>
      </c>
      <c r="I47" s="96" t="s">
        <v>216</v>
      </c>
      <c r="J47" s="103" t="s">
        <v>54</v>
      </c>
      <c r="K47" s="96" t="s">
        <v>128</v>
      </c>
      <c r="L47" s="103">
        <v>10</v>
      </c>
      <c r="M47" s="218" t="s">
        <v>68</v>
      </c>
      <c r="N47" s="176" t="s">
        <v>68</v>
      </c>
      <c r="O47" s="180"/>
      <c r="P47" s="176"/>
      <c r="Q47" s="176" t="s">
        <v>100</v>
      </c>
      <c r="R47" s="103"/>
      <c r="S47" s="103"/>
      <c r="T47" s="103" t="s">
        <v>34</v>
      </c>
    </row>
    <row r="48" spans="1:20" s="82" customFormat="1" ht="13.5" customHeight="1" x14ac:dyDescent="0.35">
      <c r="A48" s="96">
        <v>43</v>
      </c>
      <c r="B48" s="176" t="s">
        <v>22</v>
      </c>
      <c r="C48" s="176" t="s">
        <v>217</v>
      </c>
      <c r="D48" s="176" t="s">
        <v>205</v>
      </c>
      <c r="E48" s="96" t="s">
        <v>206</v>
      </c>
      <c r="F48" s="96" t="s">
        <v>207</v>
      </c>
      <c r="G48" s="233">
        <f t="shared" ref="G48" si="5">H48/10.764</f>
        <v>19270.995912300263</v>
      </c>
      <c r="H48" s="338">
        <v>207433</v>
      </c>
      <c r="I48" s="96" t="s">
        <v>218</v>
      </c>
      <c r="J48" s="103" t="s">
        <v>54</v>
      </c>
      <c r="K48" s="96" t="s">
        <v>219</v>
      </c>
      <c r="L48" s="103">
        <v>8</v>
      </c>
      <c r="M48" s="96" t="s">
        <v>42</v>
      </c>
      <c r="N48" s="176" t="s">
        <v>31</v>
      </c>
      <c r="O48" s="180"/>
      <c r="P48" s="176" t="s">
        <v>43</v>
      </c>
      <c r="Q48" s="200" t="s">
        <v>158</v>
      </c>
      <c r="R48" s="103"/>
      <c r="S48" s="103" t="s">
        <v>33</v>
      </c>
      <c r="T48" s="103" t="s">
        <v>34</v>
      </c>
    </row>
    <row r="49" spans="1:20" s="8" customFormat="1" ht="13.5" customHeight="1" x14ac:dyDescent="0.45">
      <c r="A49" s="96">
        <v>44</v>
      </c>
      <c r="B49" s="176" t="s">
        <v>22</v>
      </c>
      <c r="C49" s="176" t="s">
        <v>220</v>
      </c>
      <c r="D49" s="176" t="s">
        <v>205</v>
      </c>
      <c r="E49" s="96" t="s">
        <v>206</v>
      </c>
      <c r="F49" s="96" t="s">
        <v>207</v>
      </c>
      <c r="G49" s="233">
        <f>H49/10.764</f>
        <v>28958.65849126719</v>
      </c>
      <c r="H49" s="338">
        <v>311711</v>
      </c>
      <c r="I49" s="96" t="s">
        <v>221</v>
      </c>
      <c r="J49" s="103" t="s">
        <v>28</v>
      </c>
      <c r="K49" s="96" t="s">
        <v>87</v>
      </c>
      <c r="L49" s="103">
        <f>108/12</f>
        <v>9</v>
      </c>
      <c r="M49" s="96" t="s">
        <v>42</v>
      </c>
      <c r="N49" s="176" t="s">
        <v>31</v>
      </c>
      <c r="O49" s="180"/>
      <c r="P49" s="176"/>
      <c r="Q49" s="176" t="s">
        <v>57</v>
      </c>
      <c r="R49" s="103" t="s">
        <v>222</v>
      </c>
      <c r="S49" s="103" t="s">
        <v>33</v>
      </c>
      <c r="T49" s="103" t="s">
        <v>34</v>
      </c>
    </row>
    <row r="50" spans="1:20" s="8" customFormat="1" ht="13.5" customHeight="1" x14ac:dyDescent="0.45">
      <c r="A50" s="96">
        <v>45</v>
      </c>
      <c r="B50" s="176" t="s">
        <v>22</v>
      </c>
      <c r="C50" s="176" t="s">
        <v>223</v>
      </c>
      <c r="D50" s="176" t="s">
        <v>205</v>
      </c>
      <c r="E50" s="96" t="s">
        <v>206</v>
      </c>
      <c r="F50" s="96" t="s">
        <v>207</v>
      </c>
      <c r="G50" s="233">
        <f t="shared" ref="G50" si="6">H50/10.764</f>
        <v>24790.319583797846</v>
      </c>
      <c r="H50" s="338">
        <v>266843</v>
      </c>
      <c r="I50" s="96" t="s">
        <v>224</v>
      </c>
      <c r="J50" s="103" t="s">
        <v>40</v>
      </c>
      <c r="K50" s="96" t="s">
        <v>87</v>
      </c>
      <c r="L50" s="103">
        <f t="shared" ref="L50:L54" si="7">108/12</f>
        <v>9</v>
      </c>
      <c r="M50" s="96" t="s">
        <v>42</v>
      </c>
      <c r="N50" s="176" t="s">
        <v>31</v>
      </c>
      <c r="O50" s="180"/>
      <c r="P50" s="176"/>
      <c r="Q50" s="176" t="s">
        <v>57</v>
      </c>
      <c r="R50" s="103"/>
      <c r="S50" s="103" t="s">
        <v>33</v>
      </c>
      <c r="T50" s="103" t="s">
        <v>34</v>
      </c>
    </row>
    <row r="51" spans="1:20" s="8" customFormat="1" ht="13.5" customHeight="1" x14ac:dyDescent="0.45">
      <c r="A51" s="96">
        <v>46</v>
      </c>
      <c r="B51" s="176" t="s">
        <v>22</v>
      </c>
      <c r="C51" s="176" t="s">
        <v>225</v>
      </c>
      <c r="D51" s="176" t="s">
        <v>205</v>
      </c>
      <c r="E51" s="96" t="s">
        <v>206</v>
      </c>
      <c r="F51" s="96" t="s">
        <v>207</v>
      </c>
      <c r="G51" s="233">
        <f t="shared" ref="G51:G53" si="8">H51/10.764</f>
        <v>7000</v>
      </c>
      <c r="H51" s="338">
        <v>75348</v>
      </c>
      <c r="I51" s="96" t="s">
        <v>226</v>
      </c>
      <c r="J51" s="103" t="s">
        <v>40</v>
      </c>
      <c r="K51" s="96" t="s">
        <v>49</v>
      </c>
      <c r="L51" s="103">
        <f t="shared" si="7"/>
        <v>9</v>
      </c>
      <c r="M51" s="96" t="s">
        <v>42</v>
      </c>
      <c r="N51" s="176" t="s">
        <v>31</v>
      </c>
      <c r="O51" s="180"/>
      <c r="P51" s="176"/>
      <c r="Q51" s="176" t="s">
        <v>57</v>
      </c>
      <c r="R51" s="103"/>
      <c r="S51" s="103" t="s">
        <v>33</v>
      </c>
      <c r="T51" s="103" t="s">
        <v>34</v>
      </c>
    </row>
    <row r="52" spans="1:20" s="8" customFormat="1" ht="13.5" customHeight="1" x14ac:dyDescent="0.45">
      <c r="A52" s="96">
        <v>47</v>
      </c>
      <c r="B52" s="176" t="s">
        <v>22</v>
      </c>
      <c r="C52" s="176" t="s">
        <v>227</v>
      </c>
      <c r="D52" s="176" t="s">
        <v>205</v>
      </c>
      <c r="E52" s="96" t="s">
        <v>206</v>
      </c>
      <c r="F52" s="96" t="s">
        <v>207</v>
      </c>
      <c r="G52" s="233">
        <f t="shared" si="8"/>
        <v>8402.917131178001</v>
      </c>
      <c r="H52" s="338">
        <v>90449</v>
      </c>
      <c r="I52" s="96" t="s">
        <v>228</v>
      </c>
      <c r="J52" s="103" t="s">
        <v>28</v>
      </c>
      <c r="K52" s="96" t="s">
        <v>49</v>
      </c>
      <c r="L52" s="103">
        <f t="shared" si="7"/>
        <v>9</v>
      </c>
      <c r="M52" s="96" t="s">
        <v>42</v>
      </c>
      <c r="N52" s="176" t="s">
        <v>31</v>
      </c>
      <c r="O52" s="180"/>
      <c r="P52" s="176"/>
      <c r="Q52" s="176" t="s">
        <v>57</v>
      </c>
      <c r="R52" s="103" t="s">
        <v>222</v>
      </c>
      <c r="S52" s="103" t="s">
        <v>33</v>
      </c>
      <c r="T52" s="103" t="s">
        <v>34</v>
      </c>
    </row>
    <row r="53" spans="1:20" s="8" customFormat="1" ht="13.5" customHeight="1" x14ac:dyDescent="0.45">
      <c r="A53" s="96">
        <v>48</v>
      </c>
      <c r="B53" s="176" t="s">
        <v>22</v>
      </c>
      <c r="C53" s="176" t="s">
        <v>229</v>
      </c>
      <c r="D53" s="176" t="s">
        <v>205</v>
      </c>
      <c r="E53" s="96" t="s">
        <v>206</v>
      </c>
      <c r="F53" s="96" t="s">
        <v>207</v>
      </c>
      <c r="G53" s="233">
        <f t="shared" si="8"/>
        <v>15983.55629877369</v>
      </c>
      <c r="H53" s="338">
        <v>172047</v>
      </c>
      <c r="I53" s="96" t="s">
        <v>230</v>
      </c>
      <c r="J53" s="103" t="s">
        <v>28</v>
      </c>
      <c r="K53" s="96" t="s">
        <v>167</v>
      </c>
      <c r="L53" s="103">
        <f t="shared" si="7"/>
        <v>9</v>
      </c>
      <c r="M53" s="96" t="s">
        <v>231</v>
      </c>
      <c r="N53" s="176" t="s">
        <v>31</v>
      </c>
      <c r="O53" s="180"/>
      <c r="P53" s="176"/>
      <c r="Q53" s="176" t="s">
        <v>57</v>
      </c>
      <c r="R53" s="103" t="s">
        <v>222</v>
      </c>
      <c r="S53" s="103" t="s">
        <v>33</v>
      </c>
      <c r="T53" s="103" t="s">
        <v>34</v>
      </c>
    </row>
    <row r="54" spans="1:20" s="8" customFormat="1" ht="13.5" customHeight="1" x14ac:dyDescent="0.45">
      <c r="A54" s="96">
        <v>49</v>
      </c>
      <c r="B54" s="176" t="s">
        <v>22</v>
      </c>
      <c r="C54" s="176" t="s">
        <v>232</v>
      </c>
      <c r="D54" s="176" t="s">
        <v>213</v>
      </c>
      <c r="E54" s="96" t="s">
        <v>206</v>
      </c>
      <c r="F54" s="96" t="s">
        <v>206</v>
      </c>
      <c r="G54" s="233">
        <f>H54/10.764</f>
        <v>2000.0000000000002</v>
      </c>
      <c r="H54" s="338">
        <v>21528</v>
      </c>
      <c r="I54" s="96" t="s">
        <v>48</v>
      </c>
      <c r="J54" s="103" t="s">
        <v>28</v>
      </c>
      <c r="K54" s="96" t="s">
        <v>116</v>
      </c>
      <c r="L54" s="103">
        <f t="shared" si="7"/>
        <v>9</v>
      </c>
      <c r="M54" s="96" t="s">
        <v>30</v>
      </c>
      <c r="N54" s="176" t="s">
        <v>68</v>
      </c>
      <c r="O54" s="180"/>
      <c r="P54" s="176"/>
      <c r="Q54" s="176" t="s">
        <v>44</v>
      </c>
      <c r="R54" s="103"/>
      <c r="S54" s="103" t="s">
        <v>33</v>
      </c>
      <c r="T54" s="103" t="s">
        <v>34</v>
      </c>
    </row>
    <row r="55" spans="1:20" s="92" customFormat="1" ht="12.75" customHeight="1" x14ac:dyDescent="0.45">
      <c r="A55" s="346" t="s">
        <v>233</v>
      </c>
      <c r="B55" s="346"/>
      <c r="C55" s="346"/>
      <c r="D55" s="346"/>
      <c r="E55" s="346"/>
      <c r="F55" s="346"/>
      <c r="G55" s="234">
        <f>SUM(G6:G54)</f>
        <v>601652.30341880338</v>
      </c>
      <c r="H55" s="339">
        <f>SUM(H6:H54)</f>
        <v>6476185.3939999994</v>
      </c>
      <c r="I55" s="235"/>
      <c r="J55" s="174"/>
      <c r="K55" s="235"/>
      <c r="L55" s="174"/>
      <c r="M55" s="235"/>
      <c r="N55" s="225"/>
      <c r="O55" s="175"/>
      <c r="P55" s="225"/>
      <c r="Q55" s="225"/>
      <c r="R55" s="174"/>
      <c r="S55" s="174"/>
      <c r="T55" s="174"/>
    </row>
    <row r="56" spans="1:20" s="10" customFormat="1" ht="18.75" customHeight="1" x14ac:dyDescent="0.45">
      <c r="A56" s="350" t="s">
        <v>234</v>
      </c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51"/>
      <c r="Q56" s="351"/>
      <c r="R56" s="351"/>
      <c r="S56" s="351"/>
      <c r="T56" s="352"/>
    </row>
    <row r="57" spans="1:20" s="9" customFormat="1" ht="12.75" customHeight="1" x14ac:dyDescent="0.35">
      <c r="A57" s="96">
        <v>1</v>
      </c>
      <c r="B57" s="176" t="s">
        <v>235</v>
      </c>
      <c r="C57" s="96" t="s">
        <v>236</v>
      </c>
      <c r="D57" s="96" t="s">
        <v>237</v>
      </c>
      <c r="E57" s="145" t="s">
        <v>238</v>
      </c>
      <c r="F57" s="145" t="s">
        <v>38</v>
      </c>
      <c r="G57" s="97">
        <f t="shared" ref="G57:G59" si="9">H57/10.764</f>
        <v>10735.600148643627</v>
      </c>
      <c r="H57" s="97">
        <v>115558</v>
      </c>
      <c r="I57" s="96" t="s">
        <v>239</v>
      </c>
      <c r="J57" s="186" t="s">
        <v>54</v>
      </c>
      <c r="K57" s="199" t="s">
        <v>49</v>
      </c>
      <c r="L57" s="103">
        <v>8</v>
      </c>
      <c r="M57" s="96" t="s">
        <v>193</v>
      </c>
      <c r="N57" s="96" t="s">
        <v>31</v>
      </c>
      <c r="O57" s="180"/>
      <c r="P57" s="200"/>
      <c r="Q57" s="200" t="s">
        <v>32</v>
      </c>
      <c r="R57" s="201"/>
      <c r="S57" s="201" t="s">
        <v>33</v>
      </c>
      <c r="T57" s="97" t="s">
        <v>34</v>
      </c>
    </row>
    <row r="58" spans="1:20" s="9" customFormat="1" ht="12.75" customHeight="1" x14ac:dyDescent="0.35">
      <c r="A58" s="96">
        <v>2</v>
      </c>
      <c r="B58" s="176" t="s">
        <v>235</v>
      </c>
      <c r="C58" s="96" t="s">
        <v>240</v>
      </c>
      <c r="D58" s="96" t="s">
        <v>237</v>
      </c>
      <c r="E58" s="145" t="s">
        <v>238</v>
      </c>
      <c r="F58" s="145" t="s">
        <v>38</v>
      </c>
      <c r="G58" s="97">
        <f t="shared" si="9"/>
        <v>10735.600148643627</v>
      </c>
      <c r="H58" s="97">
        <v>115558</v>
      </c>
      <c r="I58" s="96" t="s">
        <v>239</v>
      </c>
      <c r="J58" s="186" t="s">
        <v>28</v>
      </c>
      <c r="K58" s="199" t="s">
        <v>241</v>
      </c>
      <c r="L58" s="103">
        <v>5</v>
      </c>
      <c r="M58" s="96" t="s">
        <v>56</v>
      </c>
      <c r="N58" s="96" t="s">
        <v>68</v>
      </c>
      <c r="O58" s="180"/>
      <c r="P58" s="200"/>
      <c r="Q58" s="176" t="s">
        <v>100</v>
      </c>
      <c r="R58" s="201"/>
      <c r="S58" s="103" t="s">
        <v>101</v>
      </c>
      <c r="T58" s="97" t="s">
        <v>34</v>
      </c>
    </row>
    <row r="59" spans="1:20" s="9" customFormat="1" ht="12.75" customHeight="1" x14ac:dyDescent="0.35">
      <c r="A59" s="96">
        <v>3</v>
      </c>
      <c r="B59" s="176" t="s">
        <v>235</v>
      </c>
      <c r="C59" s="96" t="s">
        <v>242</v>
      </c>
      <c r="D59" s="96" t="s">
        <v>237</v>
      </c>
      <c r="E59" s="145" t="s">
        <v>238</v>
      </c>
      <c r="F59" s="145" t="s">
        <v>38</v>
      </c>
      <c r="G59" s="97">
        <f t="shared" si="9"/>
        <v>8243.1252322556684</v>
      </c>
      <c r="H59" s="97">
        <v>88729</v>
      </c>
      <c r="I59" s="96" t="s">
        <v>239</v>
      </c>
      <c r="J59" s="186" t="s">
        <v>28</v>
      </c>
      <c r="K59" s="199" t="s">
        <v>49</v>
      </c>
      <c r="L59" s="103">
        <v>5</v>
      </c>
      <c r="M59" s="96" t="s">
        <v>202</v>
      </c>
      <c r="N59" s="96" t="s">
        <v>68</v>
      </c>
      <c r="O59" s="180"/>
      <c r="P59" s="200"/>
      <c r="Q59" s="176" t="s">
        <v>100</v>
      </c>
      <c r="R59" s="201"/>
      <c r="S59" s="201" t="s">
        <v>33</v>
      </c>
      <c r="T59" s="97" t="s">
        <v>34</v>
      </c>
    </row>
    <row r="60" spans="1:20" s="9" customFormat="1" ht="12.75" customHeight="1" x14ac:dyDescent="0.35">
      <c r="A60" s="96">
        <v>4</v>
      </c>
      <c r="B60" s="176" t="s">
        <v>235</v>
      </c>
      <c r="C60" s="96" t="s">
        <v>243</v>
      </c>
      <c r="D60" s="96" t="s">
        <v>244</v>
      </c>
      <c r="E60" s="145" t="s">
        <v>65</v>
      </c>
      <c r="F60" s="145" t="s">
        <v>245</v>
      </c>
      <c r="G60" s="97">
        <f>H60/10.764</f>
        <v>9666.2021553325903</v>
      </c>
      <c r="H60" s="97">
        <v>104047</v>
      </c>
      <c r="I60" s="96" t="s">
        <v>60</v>
      </c>
      <c r="J60" s="186" t="s">
        <v>54</v>
      </c>
      <c r="K60" s="199" t="s">
        <v>246</v>
      </c>
      <c r="L60" s="103">
        <v>10</v>
      </c>
      <c r="M60" s="96" t="s">
        <v>56</v>
      </c>
      <c r="N60" s="96" t="s">
        <v>68</v>
      </c>
      <c r="O60" s="180">
        <v>500</v>
      </c>
      <c r="P60" s="200" t="s">
        <v>129</v>
      </c>
      <c r="Q60" s="200" t="s">
        <v>44</v>
      </c>
      <c r="R60" s="201"/>
      <c r="S60" s="201" t="s">
        <v>33</v>
      </c>
      <c r="T60" s="97" t="s">
        <v>34</v>
      </c>
    </row>
    <row r="61" spans="1:20" s="9" customFormat="1" ht="12.75" customHeight="1" x14ac:dyDescent="0.35">
      <c r="A61" s="96">
        <v>5</v>
      </c>
      <c r="B61" s="176" t="s">
        <v>235</v>
      </c>
      <c r="C61" s="96" t="s">
        <v>247</v>
      </c>
      <c r="D61" s="96" t="s">
        <v>244</v>
      </c>
      <c r="E61" s="145" t="s">
        <v>65</v>
      </c>
      <c r="F61" s="145" t="s">
        <v>245</v>
      </c>
      <c r="G61" s="97">
        <f>H61/10.764</f>
        <v>26167.316982534376</v>
      </c>
      <c r="H61" s="97">
        <v>281665</v>
      </c>
      <c r="I61" s="96" t="s">
        <v>248</v>
      </c>
      <c r="J61" s="186" t="s">
        <v>67</v>
      </c>
      <c r="K61" s="199" t="s">
        <v>249</v>
      </c>
      <c r="L61" s="103">
        <v>10</v>
      </c>
      <c r="M61" s="96"/>
      <c r="N61" s="96" t="s">
        <v>31</v>
      </c>
      <c r="O61" s="180">
        <v>1000</v>
      </c>
      <c r="P61" s="200" t="s">
        <v>250</v>
      </c>
      <c r="Q61" s="200" t="s">
        <v>158</v>
      </c>
      <c r="R61" s="201"/>
      <c r="S61" s="201" t="s">
        <v>33</v>
      </c>
      <c r="T61" s="97" t="s">
        <v>34</v>
      </c>
    </row>
    <row r="62" spans="1:20" s="9" customFormat="1" ht="12.75" customHeight="1" x14ac:dyDescent="0.35">
      <c r="A62" s="96">
        <v>6</v>
      </c>
      <c r="B62" s="176" t="s">
        <v>235</v>
      </c>
      <c r="C62" s="96" t="s">
        <v>251</v>
      </c>
      <c r="D62" s="96" t="s">
        <v>244</v>
      </c>
      <c r="E62" s="145" t="s">
        <v>65</v>
      </c>
      <c r="F62" s="145" t="s">
        <v>198</v>
      </c>
      <c r="G62" s="97">
        <f>H62/10.764</f>
        <v>25839.371980676329</v>
      </c>
      <c r="H62" s="97">
        <v>278135</v>
      </c>
      <c r="I62" s="96" t="s">
        <v>252</v>
      </c>
      <c r="J62" s="186" t="s">
        <v>54</v>
      </c>
      <c r="K62" s="199" t="s">
        <v>253</v>
      </c>
      <c r="L62" s="103">
        <v>10</v>
      </c>
      <c r="M62" s="96"/>
      <c r="N62" s="96" t="s">
        <v>31</v>
      </c>
      <c r="O62" s="180"/>
      <c r="P62" s="200" t="s">
        <v>69</v>
      </c>
      <c r="Q62" s="200" t="s">
        <v>158</v>
      </c>
      <c r="R62" s="201"/>
      <c r="S62" s="201" t="s">
        <v>33</v>
      </c>
      <c r="T62" s="97" t="s">
        <v>34</v>
      </c>
    </row>
    <row r="63" spans="1:20" s="9" customFormat="1" ht="12.75" customHeight="1" x14ac:dyDescent="0.35">
      <c r="A63" s="96">
        <v>7</v>
      </c>
      <c r="B63" s="176" t="s">
        <v>235</v>
      </c>
      <c r="C63" s="96" t="s">
        <v>254</v>
      </c>
      <c r="D63" s="96" t="s">
        <v>255</v>
      </c>
      <c r="E63" s="145" t="s">
        <v>65</v>
      </c>
      <c r="F63" s="145" t="s">
        <v>38</v>
      </c>
      <c r="G63" s="97">
        <f t="shared" ref="G63:G70" si="10">H63/10.764</f>
        <v>22635.544407283538</v>
      </c>
      <c r="H63" s="97">
        <v>243649</v>
      </c>
      <c r="I63" s="96" t="s">
        <v>256</v>
      </c>
      <c r="J63" s="186" t="s">
        <v>40</v>
      </c>
      <c r="K63" s="199" t="s">
        <v>87</v>
      </c>
      <c r="L63" s="103">
        <v>5</v>
      </c>
      <c r="M63" s="96" t="s">
        <v>56</v>
      </c>
      <c r="N63" s="96" t="s">
        <v>31</v>
      </c>
      <c r="O63" s="180"/>
      <c r="P63" s="200"/>
      <c r="Q63" s="200" t="s">
        <v>44</v>
      </c>
      <c r="R63" s="202">
        <v>0.65</v>
      </c>
      <c r="S63" s="201" t="s">
        <v>33</v>
      </c>
      <c r="T63" s="97" t="s">
        <v>34</v>
      </c>
    </row>
    <row r="64" spans="1:20" s="9" customFormat="1" ht="12.75" customHeight="1" x14ac:dyDescent="0.35">
      <c r="A64" s="96">
        <v>8</v>
      </c>
      <c r="B64" s="176" t="s">
        <v>235</v>
      </c>
      <c r="C64" s="178" t="s">
        <v>257</v>
      </c>
      <c r="D64" s="96" t="s">
        <v>258</v>
      </c>
      <c r="E64" s="145" t="s">
        <v>47</v>
      </c>
      <c r="F64" s="145" t="s">
        <v>47</v>
      </c>
      <c r="G64" s="97">
        <f>H64/10.764</f>
        <v>34931.252322556669</v>
      </c>
      <c r="H64" s="97">
        <v>376000</v>
      </c>
      <c r="I64" s="96"/>
      <c r="J64" s="186" t="s">
        <v>40</v>
      </c>
      <c r="K64" s="199" t="s">
        <v>105</v>
      </c>
      <c r="L64" s="103">
        <v>12</v>
      </c>
      <c r="M64" s="96"/>
      <c r="N64" s="96" t="s">
        <v>31</v>
      </c>
      <c r="O64" s="180"/>
      <c r="P64" s="200" t="s">
        <v>259</v>
      </c>
      <c r="Q64" s="200" t="s">
        <v>44</v>
      </c>
      <c r="R64" s="201"/>
      <c r="S64" s="201" t="s">
        <v>33</v>
      </c>
      <c r="T64" s="97" t="s">
        <v>34</v>
      </c>
    </row>
    <row r="65" spans="1:20" s="9" customFormat="1" ht="12.75" customHeight="1" x14ac:dyDescent="0.35">
      <c r="A65" s="96">
        <v>9</v>
      </c>
      <c r="B65" s="176" t="s">
        <v>235</v>
      </c>
      <c r="C65" s="96" t="s">
        <v>260</v>
      </c>
      <c r="D65" s="96" t="s">
        <v>261</v>
      </c>
      <c r="E65" s="145" t="s">
        <v>262</v>
      </c>
      <c r="F65" s="145" t="s">
        <v>109</v>
      </c>
      <c r="G65" s="97">
        <f t="shared" si="10"/>
        <v>50000</v>
      </c>
      <c r="H65" s="97">
        <v>538200</v>
      </c>
      <c r="I65" s="96" t="s">
        <v>60</v>
      </c>
      <c r="J65" s="186" t="s">
        <v>67</v>
      </c>
      <c r="K65" s="199" t="s">
        <v>49</v>
      </c>
      <c r="L65" s="103">
        <v>10</v>
      </c>
      <c r="M65" s="96" t="s">
        <v>56</v>
      </c>
      <c r="N65" s="96" t="s">
        <v>68</v>
      </c>
      <c r="O65" s="180"/>
      <c r="P65" s="200"/>
      <c r="Q65" s="200" t="s">
        <v>61</v>
      </c>
      <c r="R65" s="201" t="s">
        <v>263</v>
      </c>
      <c r="S65" s="201" t="s">
        <v>33</v>
      </c>
      <c r="T65" s="97" t="s">
        <v>34</v>
      </c>
    </row>
    <row r="66" spans="1:20" s="9" customFormat="1" ht="12.75" customHeight="1" x14ac:dyDescent="0.35">
      <c r="A66" s="96">
        <v>10</v>
      </c>
      <c r="B66" s="176" t="s">
        <v>235</v>
      </c>
      <c r="C66" s="96" t="s">
        <v>264</v>
      </c>
      <c r="D66" s="96" t="s">
        <v>265</v>
      </c>
      <c r="E66" s="145" t="s">
        <v>265</v>
      </c>
      <c r="F66" s="145" t="s">
        <v>38</v>
      </c>
      <c r="G66" s="97">
        <f t="shared" si="10"/>
        <v>33657.93385358603</v>
      </c>
      <c r="H66" s="97">
        <v>362294</v>
      </c>
      <c r="I66" s="96" t="s">
        <v>266</v>
      </c>
      <c r="J66" s="186" t="s">
        <v>40</v>
      </c>
      <c r="K66" s="199" t="s">
        <v>49</v>
      </c>
      <c r="L66" s="103">
        <v>10</v>
      </c>
      <c r="M66" s="96" t="s">
        <v>42</v>
      </c>
      <c r="N66" s="96" t="s">
        <v>31</v>
      </c>
      <c r="O66" s="180"/>
      <c r="P66" s="200"/>
      <c r="Q66" s="200" t="s">
        <v>267</v>
      </c>
      <c r="R66" s="201" t="s">
        <v>268</v>
      </c>
      <c r="S66" s="201" t="s">
        <v>33</v>
      </c>
      <c r="T66" s="97" t="s">
        <v>34</v>
      </c>
    </row>
    <row r="67" spans="1:20" s="9" customFormat="1" ht="12.75" customHeight="1" x14ac:dyDescent="0.35">
      <c r="A67" s="96">
        <v>11</v>
      </c>
      <c r="B67" s="176" t="s">
        <v>235</v>
      </c>
      <c r="C67" s="96" t="s">
        <v>269</v>
      </c>
      <c r="D67" s="96" t="s">
        <v>270</v>
      </c>
      <c r="E67" s="145" t="s">
        <v>270</v>
      </c>
      <c r="F67" s="145" t="s">
        <v>26</v>
      </c>
      <c r="G67" s="97">
        <f t="shared" si="10"/>
        <v>20424.098848011894</v>
      </c>
      <c r="H67" s="97">
        <v>219845</v>
      </c>
      <c r="I67" s="96" t="s">
        <v>271</v>
      </c>
      <c r="J67" s="186" t="s">
        <v>28</v>
      </c>
      <c r="K67" s="199" t="s">
        <v>99</v>
      </c>
      <c r="L67" s="103">
        <v>5</v>
      </c>
      <c r="M67" s="96" t="s">
        <v>56</v>
      </c>
      <c r="N67" s="96" t="s">
        <v>31</v>
      </c>
      <c r="O67" s="180"/>
      <c r="P67" s="200"/>
      <c r="Q67" s="200" t="s">
        <v>57</v>
      </c>
      <c r="R67" s="201" t="s">
        <v>272</v>
      </c>
      <c r="S67" s="201" t="s">
        <v>33</v>
      </c>
      <c r="T67" s="97" t="s">
        <v>34</v>
      </c>
    </row>
    <row r="68" spans="1:20" s="9" customFormat="1" ht="12.75" customHeight="1" x14ac:dyDescent="0.35">
      <c r="A68" s="96">
        <v>12</v>
      </c>
      <c r="B68" s="176" t="s">
        <v>235</v>
      </c>
      <c r="C68" s="96" t="s">
        <v>273</v>
      </c>
      <c r="D68" s="96" t="s">
        <v>274</v>
      </c>
      <c r="E68" s="145" t="s">
        <v>74</v>
      </c>
      <c r="F68" s="145" t="s">
        <v>74</v>
      </c>
      <c r="G68" s="97">
        <f t="shared" si="10"/>
        <v>42336.213303604607</v>
      </c>
      <c r="H68" s="97">
        <v>455707</v>
      </c>
      <c r="I68" s="96" t="s">
        <v>60</v>
      </c>
      <c r="J68" s="186" t="s">
        <v>40</v>
      </c>
      <c r="K68" s="199" t="s">
        <v>49</v>
      </c>
      <c r="L68" s="103">
        <v>10</v>
      </c>
      <c r="M68" s="96" t="s">
        <v>193</v>
      </c>
      <c r="N68" s="96" t="s">
        <v>31</v>
      </c>
      <c r="O68" s="180"/>
      <c r="P68" s="200"/>
      <c r="Q68" s="200" t="s">
        <v>44</v>
      </c>
      <c r="R68" s="201"/>
      <c r="S68" s="201" t="s">
        <v>33</v>
      </c>
      <c r="T68" s="97" t="s">
        <v>34</v>
      </c>
    </row>
    <row r="69" spans="1:20" s="9" customFormat="1" ht="12.75" customHeight="1" x14ac:dyDescent="0.35">
      <c r="A69" s="96">
        <v>13</v>
      </c>
      <c r="B69" s="176" t="s">
        <v>235</v>
      </c>
      <c r="C69" s="96" t="s">
        <v>275</v>
      </c>
      <c r="D69" s="96" t="s">
        <v>261</v>
      </c>
      <c r="E69" s="145" t="s">
        <v>74</v>
      </c>
      <c r="F69" s="145" t="s">
        <v>74</v>
      </c>
      <c r="G69" s="97">
        <f t="shared" si="10"/>
        <v>32484.764028242291</v>
      </c>
      <c r="H69" s="97">
        <v>349666</v>
      </c>
      <c r="I69" s="96" t="s">
        <v>60</v>
      </c>
      <c r="J69" s="186" t="s">
        <v>40</v>
      </c>
      <c r="K69" s="199" t="s">
        <v>49</v>
      </c>
      <c r="L69" s="103">
        <v>5</v>
      </c>
      <c r="M69" s="96" t="s">
        <v>276</v>
      </c>
      <c r="N69" s="96" t="s">
        <v>31</v>
      </c>
      <c r="O69" s="180"/>
      <c r="P69" s="200"/>
      <c r="Q69" s="200" t="s">
        <v>57</v>
      </c>
      <c r="R69" s="201"/>
      <c r="S69" s="201" t="s">
        <v>33</v>
      </c>
      <c r="T69" s="97" t="s">
        <v>34</v>
      </c>
    </row>
    <row r="70" spans="1:20" s="9" customFormat="1" ht="12.75" customHeight="1" x14ac:dyDescent="0.35">
      <c r="A70" s="96">
        <v>14</v>
      </c>
      <c r="B70" s="176" t="s">
        <v>235</v>
      </c>
      <c r="C70" s="96" t="s">
        <v>277</v>
      </c>
      <c r="D70" s="96" t="s">
        <v>278</v>
      </c>
      <c r="E70" s="145" t="s">
        <v>279</v>
      </c>
      <c r="F70" s="145" t="s">
        <v>109</v>
      </c>
      <c r="G70" s="97">
        <f t="shared" si="10"/>
        <v>19011.984392419177</v>
      </c>
      <c r="H70" s="97">
        <v>204645</v>
      </c>
      <c r="I70" s="96" t="s">
        <v>280</v>
      </c>
      <c r="J70" s="186" t="s">
        <v>28</v>
      </c>
      <c r="K70" s="199" t="s">
        <v>87</v>
      </c>
      <c r="L70" s="103">
        <v>7</v>
      </c>
      <c r="M70" s="96" t="s">
        <v>42</v>
      </c>
      <c r="N70" s="96" t="s">
        <v>31</v>
      </c>
      <c r="O70" s="180"/>
      <c r="P70" s="200"/>
      <c r="Q70" s="200" t="s">
        <v>57</v>
      </c>
      <c r="R70" s="201"/>
      <c r="S70" s="201" t="s">
        <v>33</v>
      </c>
      <c r="T70" s="97" t="s">
        <v>34</v>
      </c>
    </row>
    <row r="71" spans="1:20" s="22" customFormat="1" ht="12.75" customHeight="1" x14ac:dyDescent="0.35">
      <c r="A71" s="141">
        <v>15</v>
      </c>
      <c r="B71" s="203" t="s">
        <v>235</v>
      </c>
      <c r="C71" s="141" t="s">
        <v>726</v>
      </c>
      <c r="D71" s="141" t="s">
        <v>281</v>
      </c>
      <c r="E71" s="204" t="s">
        <v>282</v>
      </c>
      <c r="F71" s="204" t="s">
        <v>26</v>
      </c>
      <c r="G71" s="189">
        <f t="shared" ref="G71:G73" si="11">H71/10.764</f>
        <v>23289.762170196955</v>
      </c>
      <c r="H71" s="189">
        <v>250691</v>
      </c>
      <c r="I71" s="141" t="s">
        <v>283</v>
      </c>
      <c r="J71" s="190" t="s">
        <v>40</v>
      </c>
      <c r="K71" s="205" t="s">
        <v>284</v>
      </c>
      <c r="L71" s="191"/>
      <c r="M71" s="141"/>
      <c r="N71" s="141"/>
      <c r="O71" s="321"/>
      <c r="P71" s="206"/>
      <c r="Q71" s="206"/>
      <c r="R71" s="207"/>
      <c r="S71" s="207"/>
      <c r="T71" s="189"/>
    </row>
    <row r="72" spans="1:20" s="22" customFormat="1" ht="12.75" customHeight="1" x14ac:dyDescent="0.35">
      <c r="A72" s="141">
        <v>16</v>
      </c>
      <c r="B72" s="203" t="s">
        <v>235</v>
      </c>
      <c r="C72" s="141" t="s">
        <v>727</v>
      </c>
      <c r="D72" s="141" t="s">
        <v>281</v>
      </c>
      <c r="E72" s="204" t="s">
        <v>282</v>
      </c>
      <c r="F72" s="204" t="s">
        <v>26</v>
      </c>
      <c r="G72" s="189">
        <f t="shared" si="11"/>
        <v>31651.616499442589</v>
      </c>
      <c r="H72" s="189">
        <v>340698</v>
      </c>
      <c r="I72" s="141" t="s">
        <v>285</v>
      </c>
      <c r="J72" s="190" t="s">
        <v>40</v>
      </c>
      <c r="K72" s="205" t="s">
        <v>49</v>
      </c>
      <c r="L72" s="191"/>
      <c r="M72" s="141"/>
      <c r="N72" s="141"/>
      <c r="O72" s="321"/>
      <c r="P72" s="206"/>
      <c r="Q72" s="206"/>
      <c r="R72" s="207"/>
      <c r="S72" s="207"/>
      <c r="T72" s="189"/>
    </row>
    <row r="73" spans="1:20" s="9" customFormat="1" ht="12.75" customHeight="1" x14ac:dyDescent="0.35">
      <c r="A73" s="96">
        <v>17</v>
      </c>
      <c r="B73" s="176" t="s">
        <v>235</v>
      </c>
      <c r="C73" s="96" t="s">
        <v>286</v>
      </c>
      <c r="D73" s="96" t="s">
        <v>287</v>
      </c>
      <c r="E73" s="145" t="s">
        <v>206</v>
      </c>
      <c r="F73" s="145" t="s">
        <v>207</v>
      </c>
      <c r="G73" s="97">
        <f t="shared" si="11"/>
        <v>10147.993311036789</v>
      </c>
      <c r="H73" s="97">
        <v>109233</v>
      </c>
      <c r="I73" s="96" t="s">
        <v>288</v>
      </c>
      <c r="J73" s="186" t="s">
        <v>40</v>
      </c>
      <c r="K73" s="199" t="s">
        <v>41</v>
      </c>
      <c r="L73" s="103">
        <v>11</v>
      </c>
      <c r="M73" s="96" t="s">
        <v>231</v>
      </c>
      <c r="N73" s="96" t="s">
        <v>31</v>
      </c>
      <c r="O73" s="180"/>
      <c r="P73" s="200"/>
      <c r="Q73" s="200" t="s">
        <v>57</v>
      </c>
      <c r="R73" s="201" t="s">
        <v>289</v>
      </c>
      <c r="S73" s="201" t="s">
        <v>33</v>
      </c>
      <c r="T73" s="97" t="s">
        <v>34</v>
      </c>
    </row>
    <row r="74" spans="1:20" s="9" customFormat="1" ht="12.75" customHeight="1" x14ac:dyDescent="0.45">
      <c r="A74" s="346" t="s">
        <v>290</v>
      </c>
      <c r="B74" s="346"/>
      <c r="C74" s="346"/>
      <c r="D74" s="346"/>
      <c r="E74" s="346"/>
      <c r="F74" s="346"/>
      <c r="G74" s="112">
        <f>SUM(G57:G73)</f>
        <v>411958.37978446676</v>
      </c>
      <c r="H74" s="112">
        <f>SUM(H57:H73)</f>
        <v>4434320</v>
      </c>
      <c r="I74" s="208"/>
      <c r="J74" s="112"/>
      <c r="K74" s="208"/>
      <c r="L74" s="112"/>
      <c r="M74" s="208"/>
      <c r="N74" s="208"/>
      <c r="O74" s="175"/>
      <c r="P74" s="175"/>
      <c r="Q74" s="175"/>
      <c r="R74" s="174"/>
      <c r="S74" s="209"/>
      <c r="T74" s="174"/>
    </row>
    <row r="75" spans="1:20" s="11" customFormat="1" ht="19.5" customHeight="1" x14ac:dyDescent="0.45">
      <c r="A75" s="350" t="s">
        <v>291</v>
      </c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2"/>
    </row>
    <row r="76" spans="1:20" s="182" customFormat="1" ht="12.75" customHeight="1" x14ac:dyDescent="0.35">
      <c r="A76" s="236">
        <v>1</v>
      </c>
      <c r="B76" s="237" t="s">
        <v>292</v>
      </c>
      <c r="C76" s="238" t="s">
        <v>51</v>
      </c>
      <c r="D76" s="238" t="s">
        <v>293</v>
      </c>
      <c r="E76" s="239" t="s">
        <v>294</v>
      </c>
      <c r="F76" s="239"/>
      <c r="G76" s="240">
        <f>H76/10.764</f>
        <v>6050.9104422147902</v>
      </c>
      <c r="H76" s="240">
        <v>65132</v>
      </c>
      <c r="I76" s="239" t="s">
        <v>295</v>
      </c>
      <c r="J76" s="241" t="s">
        <v>67</v>
      </c>
      <c r="K76" s="242" t="s">
        <v>105</v>
      </c>
      <c r="L76" s="243">
        <v>5</v>
      </c>
      <c r="M76" s="239"/>
      <c r="N76" s="239" t="s">
        <v>31</v>
      </c>
      <c r="O76" s="322">
        <v>800</v>
      </c>
      <c r="P76" s="244" t="s">
        <v>69</v>
      </c>
      <c r="Q76" s="244" t="s">
        <v>57</v>
      </c>
      <c r="R76" s="245"/>
      <c r="S76" s="207" t="s">
        <v>33</v>
      </c>
      <c r="T76" s="246" t="s">
        <v>34</v>
      </c>
    </row>
    <row r="77" spans="1:20" s="9" customFormat="1" ht="12.75" customHeight="1" x14ac:dyDescent="0.45">
      <c r="A77" s="346" t="s">
        <v>296</v>
      </c>
      <c r="B77" s="346"/>
      <c r="C77" s="346"/>
      <c r="D77" s="346"/>
      <c r="E77" s="346"/>
      <c r="F77" s="346"/>
      <c r="G77" s="112">
        <f>SUM(G76:G76)</f>
        <v>6050.9104422147902</v>
      </c>
      <c r="H77" s="112">
        <f>SUM(H76:H76)</f>
        <v>65132</v>
      </c>
      <c r="I77" s="208"/>
      <c r="J77" s="112"/>
      <c r="K77" s="208"/>
      <c r="L77" s="112"/>
      <c r="M77" s="208"/>
      <c r="N77" s="208"/>
      <c r="O77" s="175"/>
      <c r="P77" s="175"/>
      <c r="Q77" s="175"/>
      <c r="R77" s="174"/>
      <c r="S77" s="209"/>
      <c r="T77" s="174"/>
    </row>
    <row r="78" spans="1:20" s="11" customFormat="1" ht="19.5" customHeight="1" x14ac:dyDescent="0.45">
      <c r="A78" s="350" t="s">
        <v>297</v>
      </c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2"/>
    </row>
    <row r="79" spans="1:20" s="9" customFormat="1" ht="12.75" customHeight="1" x14ac:dyDescent="0.35">
      <c r="A79" s="116">
        <v>1</v>
      </c>
      <c r="B79" s="114" t="s">
        <v>298</v>
      </c>
      <c r="C79" s="91" t="s">
        <v>299</v>
      </c>
      <c r="D79" s="91" t="s">
        <v>300</v>
      </c>
      <c r="E79" s="91" t="s">
        <v>177</v>
      </c>
      <c r="F79" s="116" t="s">
        <v>177</v>
      </c>
      <c r="G79" s="115">
        <f t="shared" ref="G79" si="12">H79/10.764</f>
        <v>2821.2560386473433</v>
      </c>
      <c r="H79" s="97">
        <v>30368</v>
      </c>
      <c r="I79" s="96" t="s">
        <v>301</v>
      </c>
      <c r="J79" s="93" t="s">
        <v>40</v>
      </c>
      <c r="K79" s="116" t="s">
        <v>29</v>
      </c>
      <c r="L79" s="113"/>
      <c r="M79" s="116" t="s">
        <v>302</v>
      </c>
      <c r="N79" s="113"/>
      <c r="O79" s="323"/>
      <c r="P79" s="117"/>
      <c r="Q79" s="200" t="s">
        <v>158</v>
      </c>
      <c r="R79" s="163"/>
      <c r="S79" s="167" t="s">
        <v>33</v>
      </c>
      <c r="T79" s="113" t="s">
        <v>112</v>
      </c>
    </row>
    <row r="80" spans="1:20" s="9" customFormat="1" ht="12.75" customHeight="1" x14ac:dyDescent="0.45">
      <c r="A80" s="346" t="s">
        <v>303</v>
      </c>
      <c r="B80" s="346"/>
      <c r="C80" s="346"/>
      <c r="D80" s="346"/>
      <c r="E80" s="346"/>
      <c r="F80" s="346"/>
      <c r="G80" s="112">
        <f>SUM(G79:G79)</f>
        <v>2821.2560386473433</v>
      </c>
      <c r="H80" s="112">
        <f>SUM(H79:H79)</f>
        <v>30368</v>
      </c>
      <c r="I80" s="208"/>
      <c r="J80" s="112"/>
      <c r="K80" s="208"/>
      <c r="L80" s="112"/>
      <c r="M80" s="208"/>
      <c r="N80" s="208"/>
      <c r="O80" s="175"/>
      <c r="P80" s="175"/>
      <c r="Q80" s="175"/>
      <c r="R80" s="174"/>
      <c r="S80" s="209"/>
      <c r="T80" s="174"/>
    </row>
    <row r="81" spans="1:20" s="11" customFormat="1" ht="19.5" customHeight="1" x14ac:dyDescent="0.45">
      <c r="A81" s="350" t="s">
        <v>304</v>
      </c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2"/>
    </row>
    <row r="82" spans="1:20" s="9" customFormat="1" ht="12.75" customHeight="1" x14ac:dyDescent="0.35">
      <c r="A82" s="116">
        <v>1</v>
      </c>
      <c r="B82" s="114" t="s">
        <v>298</v>
      </c>
      <c r="C82" s="168" t="s">
        <v>305</v>
      </c>
      <c r="D82" s="168" t="s">
        <v>306</v>
      </c>
      <c r="E82" s="91" t="s">
        <v>307</v>
      </c>
      <c r="F82" s="116" t="s">
        <v>307</v>
      </c>
      <c r="G82" s="115">
        <f>H82/10.764</f>
        <v>10500</v>
      </c>
      <c r="H82" s="97">
        <v>113022</v>
      </c>
      <c r="I82" s="96" t="s">
        <v>308</v>
      </c>
      <c r="J82" s="186" t="s">
        <v>54</v>
      </c>
      <c r="K82" s="116" t="s">
        <v>49</v>
      </c>
      <c r="L82" s="113">
        <v>5</v>
      </c>
      <c r="M82" s="116" t="s">
        <v>309</v>
      </c>
      <c r="N82" s="113"/>
      <c r="O82" s="323"/>
      <c r="P82" s="117"/>
      <c r="Q82" s="200" t="s">
        <v>158</v>
      </c>
      <c r="R82" s="163"/>
      <c r="S82" s="103" t="s">
        <v>101</v>
      </c>
      <c r="T82" s="113" t="s">
        <v>112</v>
      </c>
    </row>
    <row r="83" spans="1:20" s="9" customFormat="1" ht="12.75" customHeight="1" x14ac:dyDescent="0.35">
      <c r="A83" s="116">
        <v>2</v>
      </c>
      <c r="B83" s="114" t="s">
        <v>298</v>
      </c>
      <c r="C83" s="168" t="s">
        <v>310</v>
      </c>
      <c r="D83" s="168" t="s">
        <v>306</v>
      </c>
      <c r="E83" s="91" t="s">
        <v>307</v>
      </c>
      <c r="F83" s="116" t="s">
        <v>307</v>
      </c>
      <c r="G83" s="115">
        <f t="shared" ref="G83:G92" si="13">H83/10.764</f>
        <v>10500</v>
      </c>
      <c r="H83" s="97">
        <v>113022</v>
      </c>
      <c r="I83" s="96" t="s">
        <v>311</v>
      </c>
      <c r="J83" s="186" t="s">
        <v>28</v>
      </c>
      <c r="K83" s="116" t="s">
        <v>49</v>
      </c>
      <c r="L83" s="113">
        <v>3</v>
      </c>
      <c r="M83" s="116" t="s">
        <v>30</v>
      </c>
      <c r="N83" s="113"/>
      <c r="O83" s="323"/>
      <c r="P83" s="117"/>
      <c r="Q83" s="176" t="s">
        <v>100</v>
      </c>
      <c r="R83" s="163"/>
      <c r="S83" s="103" t="s">
        <v>101</v>
      </c>
      <c r="T83" s="113" t="s">
        <v>112</v>
      </c>
    </row>
    <row r="84" spans="1:20" s="22" customFormat="1" ht="12.75" customHeight="1" x14ac:dyDescent="0.35">
      <c r="A84" s="210">
        <v>3</v>
      </c>
      <c r="B84" s="211" t="s">
        <v>298</v>
      </c>
      <c r="C84" s="177" t="s">
        <v>134</v>
      </c>
      <c r="D84" s="183" t="s">
        <v>312</v>
      </c>
      <c r="E84" s="142" t="s">
        <v>313</v>
      </c>
      <c r="F84" s="210" t="s">
        <v>38</v>
      </c>
      <c r="G84" s="212">
        <f t="shared" si="13"/>
        <v>8604.42214790041</v>
      </c>
      <c r="H84" s="189">
        <v>92618</v>
      </c>
      <c r="I84" s="141" t="s">
        <v>314</v>
      </c>
      <c r="J84" s="190" t="s">
        <v>28</v>
      </c>
      <c r="K84" s="210" t="s">
        <v>49</v>
      </c>
      <c r="L84" s="213">
        <v>3</v>
      </c>
      <c r="M84" s="210" t="s">
        <v>193</v>
      </c>
      <c r="N84" s="213"/>
      <c r="O84" s="324"/>
      <c r="P84" s="214"/>
      <c r="Q84" s="214"/>
      <c r="R84" s="215"/>
      <c r="S84" s="191" t="s">
        <v>101</v>
      </c>
      <c r="T84" s="213" t="s">
        <v>112</v>
      </c>
    </row>
    <row r="85" spans="1:20" s="9" customFormat="1" ht="12.75" customHeight="1" x14ac:dyDescent="0.35">
      <c r="A85" s="116">
        <v>4</v>
      </c>
      <c r="B85" s="114" t="s">
        <v>298</v>
      </c>
      <c r="C85" s="168" t="s">
        <v>315</v>
      </c>
      <c r="D85" s="168" t="s">
        <v>312</v>
      </c>
      <c r="E85" s="91" t="s">
        <v>313</v>
      </c>
      <c r="F85" s="116" t="s">
        <v>38</v>
      </c>
      <c r="G85" s="115">
        <f t="shared" si="13"/>
        <v>8441.9360832404309</v>
      </c>
      <c r="H85" s="97">
        <v>90869</v>
      </c>
      <c r="I85" s="96" t="s">
        <v>316</v>
      </c>
      <c r="J85" s="186" t="s">
        <v>28</v>
      </c>
      <c r="K85" s="116" t="s">
        <v>49</v>
      </c>
      <c r="L85" s="113">
        <v>5</v>
      </c>
      <c r="M85" s="116" t="s">
        <v>193</v>
      </c>
      <c r="N85" s="113"/>
      <c r="O85" s="323"/>
      <c r="P85" s="117"/>
      <c r="Q85" s="117" t="s">
        <v>82</v>
      </c>
      <c r="R85" s="163"/>
      <c r="S85" s="103" t="s">
        <v>101</v>
      </c>
      <c r="T85" s="113" t="s">
        <v>112</v>
      </c>
    </row>
    <row r="86" spans="1:20" s="9" customFormat="1" ht="12.75" customHeight="1" x14ac:dyDescent="0.35">
      <c r="A86" s="116">
        <v>5</v>
      </c>
      <c r="B86" s="114" t="s">
        <v>298</v>
      </c>
      <c r="C86" s="168" t="s">
        <v>317</v>
      </c>
      <c r="D86" s="168" t="s">
        <v>318</v>
      </c>
      <c r="E86" s="91" t="s">
        <v>91</v>
      </c>
      <c r="F86" s="91" t="s">
        <v>91</v>
      </c>
      <c r="G86" s="115">
        <f t="shared" si="13"/>
        <v>11426.978818283167</v>
      </c>
      <c r="H86" s="97">
        <v>123000</v>
      </c>
      <c r="I86" s="96"/>
      <c r="J86" s="186" t="s">
        <v>67</v>
      </c>
      <c r="K86" s="116" t="s">
        <v>105</v>
      </c>
      <c r="L86" s="113">
        <v>13</v>
      </c>
      <c r="M86" s="116" t="s">
        <v>319</v>
      </c>
      <c r="N86" s="113"/>
      <c r="O86" s="323"/>
      <c r="P86" s="117"/>
      <c r="Q86" s="176" t="s">
        <v>100</v>
      </c>
      <c r="R86" s="163"/>
      <c r="S86" s="103" t="s">
        <v>101</v>
      </c>
      <c r="T86" s="113" t="s">
        <v>34</v>
      </c>
    </row>
    <row r="87" spans="1:20" s="9" customFormat="1" ht="12.75" customHeight="1" x14ac:dyDescent="0.35">
      <c r="A87" s="116">
        <v>6</v>
      </c>
      <c r="B87" s="114" t="s">
        <v>298</v>
      </c>
      <c r="C87" s="168" t="s">
        <v>320</v>
      </c>
      <c r="D87" s="168" t="s">
        <v>321</v>
      </c>
      <c r="E87" s="91" t="s">
        <v>74</v>
      </c>
      <c r="F87" s="116" t="s">
        <v>74</v>
      </c>
      <c r="G87" s="115">
        <f t="shared" ref="G87" si="14">H87/10.764</f>
        <v>13447.974730583426</v>
      </c>
      <c r="H87" s="97">
        <v>144754</v>
      </c>
      <c r="I87" s="96" t="s">
        <v>60</v>
      </c>
      <c r="J87" s="186" t="s">
        <v>28</v>
      </c>
      <c r="K87" s="116" t="s">
        <v>322</v>
      </c>
      <c r="L87" s="113">
        <v>10</v>
      </c>
      <c r="M87" s="116" t="s">
        <v>42</v>
      </c>
      <c r="N87" s="113"/>
      <c r="O87" s="323"/>
      <c r="P87" s="117"/>
      <c r="Q87" s="200" t="s">
        <v>158</v>
      </c>
      <c r="R87" s="166">
        <v>0.52</v>
      </c>
      <c r="S87" s="167" t="s">
        <v>33</v>
      </c>
      <c r="T87" s="113" t="s">
        <v>34</v>
      </c>
    </row>
    <row r="88" spans="1:20" s="9" customFormat="1" ht="12.75" customHeight="1" x14ac:dyDescent="0.35">
      <c r="A88" s="116">
        <v>7</v>
      </c>
      <c r="B88" s="114" t="s">
        <v>298</v>
      </c>
      <c r="C88" s="168" t="s">
        <v>323</v>
      </c>
      <c r="D88" s="168" t="s">
        <v>324</v>
      </c>
      <c r="E88" s="91" t="s">
        <v>325</v>
      </c>
      <c r="F88" s="116" t="s">
        <v>109</v>
      </c>
      <c r="G88" s="115">
        <f t="shared" si="13"/>
        <v>7896.6926793013754</v>
      </c>
      <c r="H88" s="97">
        <v>85000</v>
      </c>
      <c r="I88" s="96" t="s">
        <v>324</v>
      </c>
      <c r="J88" s="186" t="s">
        <v>40</v>
      </c>
      <c r="K88" s="116" t="s">
        <v>41</v>
      </c>
      <c r="L88" s="113">
        <v>5</v>
      </c>
      <c r="M88" s="116" t="s">
        <v>302</v>
      </c>
      <c r="N88" s="113"/>
      <c r="O88" s="323"/>
      <c r="P88" s="117"/>
      <c r="Q88" s="117" t="s">
        <v>326</v>
      </c>
      <c r="R88" s="163"/>
      <c r="S88" s="167" t="s">
        <v>33</v>
      </c>
      <c r="T88" s="113" t="s">
        <v>112</v>
      </c>
    </row>
    <row r="89" spans="1:20" s="9" customFormat="1" ht="12.75" customHeight="1" x14ac:dyDescent="0.35">
      <c r="A89" s="116">
        <v>8</v>
      </c>
      <c r="B89" s="114" t="s">
        <v>298</v>
      </c>
      <c r="C89" s="168" t="s">
        <v>327</v>
      </c>
      <c r="D89" s="168" t="s">
        <v>328</v>
      </c>
      <c r="E89" s="91" t="s">
        <v>329</v>
      </c>
      <c r="F89" s="116" t="s">
        <v>198</v>
      </c>
      <c r="G89" s="115">
        <f t="shared" ref="G89" si="15">H89/10.764</f>
        <v>13005.94574507618</v>
      </c>
      <c r="H89" s="97">
        <v>139996</v>
      </c>
      <c r="I89" s="96" t="s">
        <v>330</v>
      </c>
      <c r="J89" s="186" t="s">
        <v>54</v>
      </c>
      <c r="K89" s="116" t="s">
        <v>331</v>
      </c>
      <c r="L89" s="113">
        <v>5</v>
      </c>
      <c r="M89" s="116" t="s">
        <v>332</v>
      </c>
      <c r="N89" s="113"/>
      <c r="O89" s="323"/>
      <c r="P89" s="117"/>
      <c r="Q89" s="176" t="s">
        <v>100</v>
      </c>
      <c r="R89" s="166">
        <v>0.53</v>
      </c>
      <c r="S89" s="167" t="s">
        <v>33</v>
      </c>
      <c r="T89" s="113" t="s">
        <v>34</v>
      </c>
    </row>
    <row r="90" spans="1:20" s="9" customFormat="1" ht="12.75" customHeight="1" x14ac:dyDescent="0.35">
      <c r="A90" s="116">
        <v>9</v>
      </c>
      <c r="B90" s="114" t="s">
        <v>298</v>
      </c>
      <c r="C90" s="168" t="s">
        <v>327</v>
      </c>
      <c r="D90" s="168" t="s">
        <v>328</v>
      </c>
      <c r="E90" s="91" t="s">
        <v>329</v>
      </c>
      <c r="F90" s="116" t="s">
        <v>198</v>
      </c>
      <c r="G90" s="115">
        <f t="shared" si="13"/>
        <v>7431.9955406911931</v>
      </c>
      <c r="H90" s="97">
        <v>79998</v>
      </c>
      <c r="I90" s="96" t="s">
        <v>48</v>
      </c>
      <c r="J90" s="186" t="s">
        <v>54</v>
      </c>
      <c r="K90" s="116" t="s">
        <v>331</v>
      </c>
      <c r="L90" s="113">
        <v>5</v>
      </c>
      <c r="M90" s="116" t="s">
        <v>332</v>
      </c>
      <c r="N90" s="113"/>
      <c r="O90" s="323"/>
      <c r="P90" s="117"/>
      <c r="Q90" s="176" t="s">
        <v>100</v>
      </c>
      <c r="R90" s="166">
        <v>0.53</v>
      </c>
      <c r="S90" s="167" t="s">
        <v>33</v>
      </c>
      <c r="T90" s="113" t="s">
        <v>34</v>
      </c>
    </row>
    <row r="91" spans="1:20" s="9" customFormat="1" ht="12.75" customHeight="1" x14ac:dyDescent="0.35">
      <c r="A91" s="116">
        <v>10</v>
      </c>
      <c r="B91" s="114" t="s">
        <v>298</v>
      </c>
      <c r="C91" s="168" t="s">
        <v>333</v>
      </c>
      <c r="D91" s="168" t="s">
        <v>328</v>
      </c>
      <c r="E91" s="91" t="s">
        <v>329</v>
      </c>
      <c r="F91" s="116" t="s">
        <v>38</v>
      </c>
      <c r="G91" s="115">
        <f t="shared" si="13"/>
        <v>5439.892233370495</v>
      </c>
      <c r="H91" s="97">
        <v>58555</v>
      </c>
      <c r="I91" s="96" t="s">
        <v>334</v>
      </c>
      <c r="J91" s="186" t="s">
        <v>67</v>
      </c>
      <c r="K91" s="116" t="s">
        <v>49</v>
      </c>
      <c r="L91" s="113">
        <v>5</v>
      </c>
      <c r="M91" s="116" t="s">
        <v>202</v>
      </c>
      <c r="N91" s="113"/>
      <c r="O91" s="323"/>
      <c r="P91" s="117"/>
      <c r="Q91" s="176" t="s">
        <v>100</v>
      </c>
      <c r="R91" s="113"/>
      <c r="S91" s="167" t="s">
        <v>33</v>
      </c>
      <c r="T91" s="113" t="s">
        <v>34</v>
      </c>
    </row>
    <row r="92" spans="1:20" s="9" customFormat="1" ht="12.75" customHeight="1" x14ac:dyDescent="0.35">
      <c r="A92" s="116">
        <v>11</v>
      </c>
      <c r="B92" s="114" t="s">
        <v>298</v>
      </c>
      <c r="C92" s="168" t="s">
        <v>335</v>
      </c>
      <c r="D92" s="168" t="s">
        <v>328</v>
      </c>
      <c r="E92" s="91" t="s">
        <v>329</v>
      </c>
      <c r="F92" s="116" t="s">
        <v>38</v>
      </c>
      <c r="G92" s="115">
        <f t="shared" si="13"/>
        <v>3425.027870680045</v>
      </c>
      <c r="H92" s="97">
        <v>36867</v>
      </c>
      <c r="I92" s="96" t="s">
        <v>336</v>
      </c>
      <c r="J92" s="186" t="s">
        <v>28</v>
      </c>
      <c r="K92" s="116" t="s">
        <v>87</v>
      </c>
      <c r="L92" s="113"/>
      <c r="M92" s="116" t="s">
        <v>337</v>
      </c>
      <c r="N92" s="113"/>
      <c r="O92" s="323"/>
      <c r="P92" s="117"/>
      <c r="Q92" s="117" t="s">
        <v>57</v>
      </c>
      <c r="R92" s="166">
        <v>0.52</v>
      </c>
      <c r="S92" s="167" t="s">
        <v>33</v>
      </c>
      <c r="T92" s="113" t="s">
        <v>34</v>
      </c>
    </row>
    <row r="93" spans="1:20" s="9" customFormat="1" ht="12.75" customHeight="1" x14ac:dyDescent="0.35">
      <c r="A93" s="116">
        <v>12</v>
      </c>
      <c r="B93" s="114" t="s">
        <v>298</v>
      </c>
      <c r="C93" s="168" t="s">
        <v>338</v>
      </c>
      <c r="D93" s="168" t="s">
        <v>339</v>
      </c>
      <c r="E93" s="91" t="s">
        <v>177</v>
      </c>
      <c r="F93" s="116" t="s">
        <v>177</v>
      </c>
      <c r="G93" s="115">
        <f t="shared" ref="G93" si="16">H93/10.764</f>
        <v>13425.399479747306</v>
      </c>
      <c r="H93" s="97">
        <v>144511</v>
      </c>
      <c r="I93" s="96" t="s">
        <v>340</v>
      </c>
      <c r="J93" s="186" t="s">
        <v>40</v>
      </c>
      <c r="K93" s="116" t="s">
        <v>341</v>
      </c>
      <c r="L93" s="113">
        <v>5</v>
      </c>
      <c r="M93" s="116" t="s">
        <v>202</v>
      </c>
      <c r="N93" s="113"/>
      <c r="O93" s="323"/>
      <c r="P93" s="117"/>
      <c r="Q93" s="176" t="s">
        <v>100</v>
      </c>
      <c r="R93" s="166">
        <v>0.52</v>
      </c>
      <c r="S93" s="167" t="s">
        <v>33</v>
      </c>
      <c r="T93" s="113" t="s">
        <v>34</v>
      </c>
    </row>
    <row r="94" spans="1:20" s="9" customFormat="1" ht="12.75" customHeight="1" x14ac:dyDescent="0.45">
      <c r="A94" s="116">
        <v>13</v>
      </c>
      <c r="B94" s="114" t="s">
        <v>298</v>
      </c>
      <c r="C94" s="168" t="s">
        <v>342</v>
      </c>
      <c r="D94" s="168" t="s">
        <v>343</v>
      </c>
      <c r="E94" s="145" t="s">
        <v>206</v>
      </c>
      <c r="F94" s="116" t="s">
        <v>206</v>
      </c>
      <c r="G94" s="115">
        <f>H94/10.764</f>
        <v>19475.380899293945</v>
      </c>
      <c r="H94" s="97">
        <v>209633</v>
      </c>
      <c r="I94" s="96" t="s">
        <v>344</v>
      </c>
      <c r="J94" s="186" t="s">
        <v>40</v>
      </c>
      <c r="K94" s="116" t="s">
        <v>94</v>
      </c>
      <c r="L94" s="113">
        <v>7</v>
      </c>
      <c r="M94" s="116" t="s">
        <v>202</v>
      </c>
      <c r="N94" s="113" t="s">
        <v>68</v>
      </c>
      <c r="O94" s="323"/>
      <c r="P94" s="117"/>
      <c r="Q94" s="176" t="s">
        <v>100</v>
      </c>
      <c r="R94" s="166">
        <v>0.49</v>
      </c>
      <c r="S94" s="167" t="s">
        <v>33</v>
      </c>
      <c r="T94" s="113" t="s">
        <v>34</v>
      </c>
    </row>
    <row r="95" spans="1:20" s="9" customFormat="1" ht="12.75" customHeight="1" x14ac:dyDescent="0.45">
      <c r="A95" s="116">
        <v>14</v>
      </c>
      <c r="B95" s="114" t="s">
        <v>298</v>
      </c>
      <c r="C95" s="168" t="s">
        <v>342</v>
      </c>
      <c r="D95" s="168" t="s">
        <v>343</v>
      </c>
      <c r="E95" s="145" t="s">
        <v>206</v>
      </c>
      <c r="F95" s="116" t="s">
        <v>206</v>
      </c>
      <c r="G95" s="115">
        <f t="shared" ref="G95" si="17">H95/10.764</f>
        <v>13450.947603121516</v>
      </c>
      <c r="H95" s="97">
        <v>144786</v>
      </c>
      <c r="I95" s="96" t="s">
        <v>48</v>
      </c>
      <c r="J95" s="186" t="s">
        <v>40</v>
      </c>
      <c r="K95" s="116" t="s">
        <v>94</v>
      </c>
      <c r="L95" s="113">
        <v>7</v>
      </c>
      <c r="M95" s="116" t="s">
        <v>202</v>
      </c>
      <c r="N95" s="113" t="s">
        <v>68</v>
      </c>
      <c r="O95" s="323"/>
      <c r="P95" s="117"/>
      <c r="Q95" s="176" t="s">
        <v>100</v>
      </c>
      <c r="R95" s="166">
        <v>0.49</v>
      </c>
      <c r="S95" s="167" t="s">
        <v>33</v>
      </c>
      <c r="T95" s="113" t="s">
        <v>34</v>
      </c>
    </row>
    <row r="96" spans="1:20" s="9" customFormat="1" ht="12.75" customHeight="1" x14ac:dyDescent="0.45">
      <c r="A96" s="346" t="s">
        <v>345</v>
      </c>
      <c r="B96" s="346"/>
      <c r="C96" s="346"/>
      <c r="D96" s="346"/>
      <c r="E96" s="346"/>
      <c r="F96" s="346"/>
      <c r="G96" s="112">
        <f>SUM(G82:G95)</f>
        <v>146472.5938312895</v>
      </c>
      <c r="H96" s="112">
        <f>SUM(H82:H95)</f>
        <v>1576631</v>
      </c>
      <c r="I96" s="208"/>
      <c r="J96" s="112"/>
      <c r="K96" s="208"/>
      <c r="L96" s="112"/>
      <c r="M96" s="208"/>
      <c r="N96" s="208"/>
      <c r="O96" s="175"/>
      <c r="P96" s="175"/>
      <c r="Q96" s="175"/>
      <c r="R96" s="174"/>
      <c r="S96" s="209"/>
      <c r="T96" s="174"/>
    </row>
    <row r="97" spans="1:20" s="10" customFormat="1" ht="20.25" customHeight="1" x14ac:dyDescent="0.45">
      <c r="A97" s="350" t="s">
        <v>346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2"/>
    </row>
    <row r="98" spans="1:20" s="94" customFormat="1" ht="13.5" customHeight="1" x14ac:dyDescent="0.45">
      <c r="A98" s="96">
        <v>1</v>
      </c>
      <c r="B98" s="176" t="s">
        <v>347</v>
      </c>
      <c r="C98" s="176" t="s">
        <v>348</v>
      </c>
      <c r="D98" s="176" t="s">
        <v>349</v>
      </c>
      <c r="E98" s="96" t="s">
        <v>350</v>
      </c>
      <c r="F98" s="96" t="s">
        <v>351</v>
      </c>
      <c r="G98" s="97">
        <f>H98/10.764</f>
        <v>10149.944258639911</v>
      </c>
      <c r="H98" s="97">
        <v>109254</v>
      </c>
      <c r="I98" s="96" t="s">
        <v>60</v>
      </c>
      <c r="J98" s="186" t="s">
        <v>40</v>
      </c>
      <c r="K98" s="96" t="s">
        <v>219</v>
      </c>
      <c r="L98" s="103">
        <v>7</v>
      </c>
      <c r="M98" s="96" t="s">
        <v>30</v>
      </c>
      <c r="N98" s="176" t="s">
        <v>31</v>
      </c>
      <c r="O98" s="180"/>
      <c r="P98" s="216"/>
      <c r="Q98" s="216" t="s">
        <v>158</v>
      </c>
      <c r="R98" s="188"/>
      <c r="S98" s="201" t="s">
        <v>33</v>
      </c>
      <c r="T98" s="186" t="s">
        <v>34</v>
      </c>
    </row>
    <row r="99" spans="1:20" s="94" customFormat="1" ht="13.5" customHeight="1" x14ac:dyDescent="0.45">
      <c r="A99" s="96">
        <v>2</v>
      </c>
      <c r="B99" s="176" t="s">
        <v>347</v>
      </c>
      <c r="C99" s="176" t="s">
        <v>352</v>
      </c>
      <c r="D99" s="176" t="s">
        <v>349</v>
      </c>
      <c r="E99" s="96" t="s">
        <v>350</v>
      </c>
      <c r="F99" s="96" t="s">
        <v>351</v>
      </c>
      <c r="G99" s="97">
        <f t="shared" ref="G99" si="18">H99/10.764</f>
        <v>18599.033816425122</v>
      </c>
      <c r="H99" s="97">
        <v>200200</v>
      </c>
      <c r="I99" s="96" t="s">
        <v>353</v>
      </c>
      <c r="J99" s="186" t="s">
        <v>40</v>
      </c>
      <c r="K99" s="96" t="s">
        <v>29</v>
      </c>
      <c r="L99" s="103">
        <v>10</v>
      </c>
      <c r="M99" s="176" t="s">
        <v>354</v>
      </c>
      <c r="N99" s="176" t="s">
        <v>31</v>
      </c>
      <c r="O99" s="180">
        <v>1000</v>
      </c>
      <c r="P99" s="216"/>
      <c r="Q99" s="216" t="s">
        <v>158</v>
      </c>
      <c r="R99" s="188">
        <v>0.68</v>
      </c>
      <c r="S99" s="201" t="s">
        <v>33</v>
      </c>
      <c r="T99" s="186" t="s">
        <v>34</v>
      </c>
    </row>
    <row r="100" spans="1:20" s="94" customFormat="1" ht="13.5" customHeight="1" x14ac:dyDescent="0.45">
      <c r="A100" s="96">
        <v>3</v>
      </c>
      <c r="B100" s="176" t="s">
        <v>347</v>
      </c>
      <c r="C100" s="176" t="s">
        <v>355</v>
      </c>
      <c r="D100" s="176" t="s">
        <v>356</v>
      </c>
      <c r="E100" s="96" t="s">
        <v>357</v>
      </c>
      <c r="F100" s="96" t="s">
        <v>357</v>
      </c>
      <c r="G100" s="97">
        <f>H100/10.764</f>
        <v>10401.616499442587</v>
      </c>
      <c r="H100" s="97">
        <v>111963</v>
      </c>
      <c r="I100" s="96" t="s">
        <v>358</v>
      </c>
      <c r="J100" s="186" t="s">
        <v>67</v>
      </c>
      <c r="K100" s="96" t="s">
        <v>128</v>
      </c>
      <c r="L100" s="103">
        <v>5</v>
      </c>
      <c r="M100" s="96"/>
      <c r="N100" s="176" t="s">
        <v>31</v>
      </c>
      <c r="O100" s="180">
        <v>1000</v>
      </c>
      <c r="P100" s="216" t="s">
        <v>43</v>
      </c>
      <c r="Q100" s="216" t="s">
        <v>57</v>
      </c>
      <c r="R100" s="188"/>
      <c r="S100" s="201" t="s">
        <v>33</v>
      </c>
      <c r="T100" s="186" t="s">
        <v>34</v>
      </c>
    </row>
    <row r="101" spans="1:20" s="94" customFormat="1" ht="13.5" customHeight="1" x14ac:dyDescent="0.45">
      <c r="A101" s="96">
        <v>4</v>
      </c>
      <c r="B101" s="176" t="s">
        <v>347</v>
      </c>
      <c r="C101" s="176" t="s">
        <v>359</v>
      </c>
      <c r="D101" s="176" t="s">
        <v>360</v>
      </c>
      <c r="E101" s="96" t="s">
        <v>37</v>
      </c>
      <c r="F101" s="96" t="s">
        <v>38</v>
      </c>
      <c r="G101" s="97">
        <f>H101/10.764</f>
        <v>5100.1486436269051</v>
      </c>
      <c r="H101" s="97">
        <v>54898</v>
      </c>
      <c r="I101" s="96" t="s">
        <v>361</v>
      </c>
      <c r="J101" s="186" t="s">
        <v>67</v>
      </c>
      <c r="K101" s="96" t="s">
        <v>105</v>
      </c>
      <c r="L101" s="103">
        <v>5</v>
      </c>
      <c r="M101" s="96"/>
      <c r="N101" s="176" t="s">
        <v>31</v>
      </c>
      <c r="O101" s="180">
        <v>200</v>
      </c>
      <c r="P101" s="216" t="s">
        <v>69</v>
      </c>
      <c r="Q101" s="216" t="s">
        <v>122</v>
      </c>
      <c r="R101" s="188"/>
      <c r="S101" s="201" t="s">
        <v>33</v>
      </c>
      <c r="T101" s="186" t="s">
        <v>112</v>
      </c>
    </row>
    <row r="102" spans="1:20" s="94" customFormat="1" ht="13.5" customHeight="1" x14ac:dyDescent="0.45">
      <c r="A102" s="96">
        <v>5</v>
      </c>
      <c r="B102" s="176" t="s">
        <v>347</v>
      </c>
      <c r="C102" s="176" t="s">
        <v>362</v>
      </c>
      <c r="D102" s="176" t="s">
        <v>363</v>
      </c>
      <c r="E102" s="96" t="s">
        <v>91</v>
      </c>
      <c r="F102" s="96" t="s">
        <v>92</v>
      </c>
      <c r="G102" s="97">
        <f t="shared" ref="G102" si="19">H102/10.764</f>
        <v>13935.340022296545</v>
      </c>
      <c r="H102" s="97">
        <v>150000</v>
      </c>
      <c r="I102" s="96" t="s">
        <v>364</v>
      </c>
      <c r="J102" s="186" t="s">
        <v>40</v>
      </c>
      <c r="K102" s="96" t="s">
        <v>49</v>
      </c>
      <c r="L102" s="103">
        <v>10</v>
      </c>
      <c r="M102" s="96" t="s">
        <v>193</v>
      </c>
      <c r="N102" s="176" t="s">
        <v>31</v>
      </c>
      <c r="O102" s="180"/>
      <c r="P102" s="216"/>
      <c r="Q102" s="216" t="s">
        <v>158</v>
      </c>
      <c r="R102" s="188"/>
      <c r="S102" s="201" t="s">
        <v>33</v>
      </c>
      <c r="T102" s="186" t="s">
        <v>34</v>
      </c>
    </row>
    <row r="103" spans="1:20" s="94" customFormat="1" ht="13.5" customHeight="1" x14ac:dyDescent="0.45">
      <c r="A103" s="96">
        <v>6</v>
      </c>
      <c r="B103" s="176" t="s">
        <v>347</v>
      </c>
      <c r="C103" s="176" t="s">
        <v>365</v>
      </c>
      <c r="D103" s="176" t="s">
        <v>366</v>
      </c>
      <c r="E103" s="96" t="s">
        <v>367</v>
      </c>
      <c r="F103" s="96" t="s">
        <v>38</v>
      </c>
      <c r="G103" s="97">
        <f>H103/10.764</f>
        <v>3664.9944258639912</v>
      </c>
      <c r="H103" s="97">
        <v>39450</v>
      </c>
      <c r="I103" s="96" t="s">
        <v>368</v>
      </c>
      <c r="J103" s="186" t="s">
        <v>54</v>
      </c>
      <c r="K103" s="96" t="s">
        <v>128</v>
      </c>
      <c r="L103" s="103"/>
      <c r="M103" s="96"/>
      <c r="N103" s="176" t="s">
        <v>31</v>
      </c>
      <c r="O103" s="180"/>
      <c r="P103" s="216" t="s">
        <v>43</v>
      </c>
      <c r="Q103" s="216" t="s">
        <v>158</v>
      </c>
      <c r="R103" s="188"/>
      <c r="S103" s="201" t="s">
        <v>33</v>
      </c>
      <c r="T103" s="186" t="s">
        <v>112</v>
      </c>
    </row>
    <row r="104" spans="1:20" s="94" customFormat="1" ht="13.5" customHeight="1" x14ac:dyDescent="0.45">
      <c r="A104" s="96">
        <v>7</v>
      </c>
      <c r="B104" s="176" t="s">
        <v>347</v>
      </c>
      <c r="C104" s="217" t="s">
        <v>134</v>
      </c>
      <c r="D104" s="176" t="s">
        <v>369</v>
      </c>
      <c r="E104" s="96" t="s">
        <v>370</v>
      </c>
      <c r="F104" s="96" t="s">
        <v>370</v>
      </c>
      <c r="G104" s="97">
        <f>H104/10.764</f>
        <v>5258.9186176142703</v>
      </c>
      <c r="H104" s="97">
        <v>56607</v>
      </c>
      <c r="I104" s="96" t="s">
        <v>371</v>
      </c>
      <c r="J104" s="186" t="s">
        <v>28</v>
      </c>
      <c r="K104" s="96" t="s">
        <v>49</v>
      </c>
      <c r="L104" s="103"/>
      <c r="M104" s="96"/>
      <c r="N104" s="176"/>
      <c r="O104" s="180"/>
      <c r="P104" s="216"/>
      <c r="Q104" s="216"/>
      <c r="R104" s="188"/>
      <c r="S104" s="103" t="s">
        <v>101</v>
      </c>
      <c r="T104" s="186" t="s">
        <v>34</v>
      </c>
    </row>
    <row r="105" spans="1:20" s="94" customFormat="1" ht="13.5" customHeight="1" x14ac:dyDescent="0.45">
      <c r="A105" s="96">
        <v>8</v>
      </c>
      <c r="B105" s="176" t="s">
        <v>347</v>
      </c>
      <c r="C105" s="176" t="s">
        <v>372</v>
      </c>
      <c r="D105" s="176" t="s">
        <v>237</v>
      </c>
      <c r="E105" s="96" t="s">
        <v>325</v>
      </c>
      <c r="F105" s="96" t="s">
        <v>325</v>
      </c>
      <c r="G105" s="97">
        <f t="shared" ref="G105" si="20">H105/10.764</f>
        <v>2371.9806763285023</v>
      </c>
      <c r="H105" s="97">
        <v>25532</v>
      </c>
      <c r="I105" s="96" t="s">
        <v>373</v>
      </c>
      <c r="J105" s="186" t="s">
        <v>40</v>
      </c>
      <c r="K105" s="96" t="s">
        <v>87</v>
      </c>
      <c r="L105" s="103">
        <v>5</v>
      </c>
      <c r="M105" s="96" t="s">
        <v>30</v>
      </c>
      <c r="N105" s="176" t="s">
        <v>31</v>
      </c>
      <c r="O105" s="180"/>
      <c r="P105" s="216"/>
      <c r="Q105" s="216" t="s">
        <v>57</v>
      </c>
      <c r="R105" s="188" t="s">
        <v>374</v>
      </c>
      <c r="S105" s="201" t="s">
        <v>33</v>
      </c>
      <c r="T105" s="186" t="s">
        <v>112</v>
      </c>
    </row>
    <row r="106" spans="1:20" s="94" customFormat="1" ht="13.5" customHeight="1" x14ac:dyDescent="0.45">
      <c r="A106" s="96">
        <v>9</v>
      </c>
      <c r="B106" s="176" t="s">
        <v>347</v>
      </c>
      <c r="C106" s="176" t="s">
        <v>375</v>
      </c>
      <c r="D106" s="176" t="s">
        <v>376</v>
      </c>
      <c r="E106" s="96" t="s">
        <v>206</v>
      </c>
      <c r="F106" s="96" t="s">
        <v>206</v>
      </c>
      <c r="G106" s="97">
        <f>H106/10.764</f>
        <v>4887.9598662207363</v>
      </c>
      <c r="H106" s="97">
        <v>52614</v>
      </c>
      <c r="I106" s="96" t="s">
        <v>377</v>
      </c>
      <c r="J106" s="186" t="s">
        <v>40</v>
      </c>
      <c r="K106" s="96" t="s">
        <v>29</v>
      </c>
      <c r="L106" s="103">
        <v>7</v>
      </c>
      <c r="M106" s="96" t="s">
        <v>42</v>
      </c>
      <c r="N106" s="176" t="s">
        <v>31</v>
      </c>
      <c r="O106" s="180"/>
      <c r="P106" s="216"/>
      <c r="Q106" s="216" t="s">
        <v>57</v>
      </c>
      <c r="R106" s="188"/>
      <c r="S106" s="201" t="s">
        <v>33</v>
      </c>
      <c r="T106" s="186" t="s">
        <v>34</v>
      </c>
    </row>
    <row r="107" spans="1:20" s="94" customFormat="1" ht="13.5" customHeight="1" x14ac:dyDescent="0.45">
      <c r="A107" s="96">
        <v>10</v>
      </c>
      <c r="B107" s="176" t="s">
        <v>347</v>
      </c>
      <c r="C107" s="176" t="s">
        <v>378</v>
      </c>
      <c r="D107" s="176" t="s">
        <v>376</v>
      </c>
      <c r="E107" s="96" t="s">
        <v>206</v>
      </c>
      <c r="F107" s="96" t="s">
        <v>206</v>
      </c>
      <c r="G107" s="97">
        <f>H107/10.764</f>
        <v>4888.0527684875515</v>
      </c>
      <c r="H107" s="97">
        <v>52615</v>
      </c>
      <c r="I107" s="96" t="s">
        <v>379</v>
      </c>
      <c r="J107" s="186" t="s">
        <v>67</v>
      </c>
      <c r="K107" s="96" t="s">
        <v>105</v>
      </c>
      <c r="L107" s="103">
        <v>5</v>
      </c>
      <c r="M107" s="96" t="s">
        <v>209</v>
      </c>
      <c r="N107" s="176" t="s">
        <v>31</v>
      </c>
      <c r="O107" s="180"/>
      <c r="P107" s="216" t="s">
        <v>43</v>
      </c>
      <c r="Q107" s="216" t="s">
        <v>57</v>
      </c>
      <c r="R107" s="188"/>
      <c r="S107" s="201" t="s">
        <v>33</v>
      </c>
      <c r="T107" s="186" t="s">
        <v>34</v>
      </c>
    </row>
    <row r="108" spans="1:20" s="94" customFormat="1" ht="13.5" customHeight="1" x14ac:dyDescent="0.45">
      <c r="A108" s="96">
        <v>11</v>
      </c>
      <c r="B108" s="176" t="s">
        <v>347</v>
      </c>
      <c r="C108" s="176" t="s">
        <v>380</v>
      </c>
      <c r="D108" s="176" t="s">
        <v>376</v>
      </c>
      <c r="E108" s="96" t="s">
        <v>206</v>
      </c>
      <c r="F108" s="96" t="s">
        <v>206</v>
      </c>
      <c r="G108" s="97">
        <f>H108/10.764</f>
        <v>5455.0353028613899</v>
      </c>
      <c r="H108" s="97">
        <v>58718</v>
      </c>
      <c r="I108" s="96" t="s">
        <v>381</v>
      </c>
      <c r="J108" s="186" t="s">
        <v>54</v>
      </c>
      <c r="K108" s="96" t="s">
        <v>41</v>
      </c>
      <c r="L108" s="103">
        <v>10</v>
      </c>
      <c r="M108" s="96" t="s">
        <v>209</v>
      </c>
      <c r="N108" s="176" t="s">
        <v>31</v>
      </c>
      <c r="O108" s="180"/>
      <c r="P108" s="216" t="s">
        <v>43</v>
      </c>
      <c r="Q108" s="216" t="s">
        <v>57</v>
      </c>
      <c r="R108" s="188"/>
      <c r="S108" s="201" t="s">
        <v>33</v>
      </c>
      <c r="T108" s="186" t="s">
        <v>34</v>
      </c>
    </row>
    <row r="109" spans="1:20" s="9" customFormat="1" ht="12.75" customHeight="1" x14ac:dyDescent="0.45">
      <c r="A109" s="346" t="s">
        <v>382</v>
      </c>
      <c r="B109" s="346"/>
      <c r="C109" s="346"/>
      <c r="D109" s="346"/>
      <c r="E109" s="346"/>
      <c r="F109" s="346"/>
      <c r="G109" s="112">
        <f>SUM(G98:G108)</f>
        <v>84713.024897807511</v>
      </c>
      <c r="H109" s="112">
        <f>SUM(H98:H108)</f>
        <v>911851</v>
      </c>
      <c r="I109" s="208"/>
      <c r="J109" s="112"/>
      <c r="K109" s="208"/>
      <c r="L109" s="112"/>
      <c r="M109" s="208"/>
      <c r="N109" s="208"/>
      <c r="O109" s="175"/>
      <c r="P109" s="208"/>
      <c r="Q109" s="208"/>
      <c r="R109" s="112"/>
      <c r="S109" s="201"/>
      <c r="T109" s="112"/>
    </row>
    <row r="110" spans="1:20" s="12" customFormat="1" ht="20.25" customHeight="1" x14ac:dyDescent="0.45">
      <c r="A110" s="350" t="s">
        <v>383</v>
      </c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2"/>
    </row>
    <row r="111" spans="1:20" s="22" customFormat="1" ht="13.5" customHeight="1" x14ac:dyDescent="0.45">
      <c r="A111" s="191">
        <v>1</v>
      </c>
      <c r="B111" s="203" t="s">
        <v>384</v>
      </c>
      <c r="C111" s="141"/>
      <c r="D111" s="203"/>
      <c r="E111" s="141"/>
      <c r="F111" s="141"/>
      <c r="G111" s="189"/>
      <c r="H111" s="189"/>
      <c r="I111" s="141"/>
      <c r="J111" s="190"/>
      <c r="K111" s="141"/>
      <c r="L111" s="191"/>
      <c r="M111" s="141"/>
      <c r="N111" s="141"/>
      <c r="O111" s="321"/>
      <c r="P111" s="141"/>
      <c r="Q111" s="141"/>
      <c r="R111" s="191"/>
      <c r="S111" s="191"/>
      <c r="T111" s="191"/>
    </row>
    <row r="112" spans="1:20" s="9" customFormat="1" ht="12.75" customHeight="1" x14ac:dyDescent="0.45">
      <c r="A112" s="347" t="s">
        <v>385</v>
      </c>
      <c r="B112" s="348"/>
      <c r="C112" s="348"/>
      <c r="D112" s="348"/>
      <c r="E112" s="348"/>
      <c r="F112" s="349"/>
      <c r="G112" s="112">
        <f>SUM(G111:G111)</f>
        <v>0</v>
      </c>
      <c r="H112" s="112">
        <f>SUM(H111:H111)</f>
        <v>0</v>
      </c>
      <c r="I112" s="208"/>
      <c r="J112" s="112"/>
      <c r="K112" s="208"/>
      <c r="L112" s="112"/>
      <c r="M112" s="208"/>
      <c r="N112" s="208"/>
      <c r="O112" s="175"/>
      <c r="P112" s="175"/>
      <c r="Q112" s="175"/>
      <c r="R112" s="174"/>
      <c r="S112" s="174"/>
      <c r="T112" s="174"/>
    </row>
    <row r="113" spans="1:58" s="10" customFormat="1" ht="20.25" customHeight="1" x14ac:dyDescent="0.45">
      <c r="A113" s="350" t="s">
        <v>386</v>
      </c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2"/>
    </row>
    <row r="114" spans="1:58" s="61" customFormat="1" ht="13.5" customHeight="1" x14ac:dyDescent="0.45">
      <c r="A114" s="96">
        <v>1</v>
      </c>
      <c r="B114" s="96" t="s">
        <v>387</v>
      </c>
      <c r="C114" s="96" t="s">
        <v>388</v>
      </c>
      <c r="D114" s="96" t="s">
        <v>389</v>
      </c>
      <c r="E114" s="96" t="s">
        <v>390</v>
      </c>
      <c r="F114" s="96" t="s">
        <v>390</v>
      </c>
      <c r="G114" s="97">
        <f t="shared" ref="G114" si="21">H114/10.764</f>
        <v>9288.9260497956147</v>
      </c>
      <c r="H114" s="97">
        <v>99986</v>
      </c>
      <c r="I114" s="96" t="s">
        <v>391</v>
      </c>
      <c r="J114" s="186" t="s">
        <v>28</v>
      </c>
      <c r="K114" s="96" t="s">
        <v>49</v>
      </c>
      <c r="L114" s="103">
        <v>5</v>
      </c>
      <c r="M114" s="96" t="s">
        <v>56</v>
      </c>
      <c r="N114" s="96" t="s">
        <v>31</v>
      </c>
      <c r="O114" s="180"/>
      <c r="P114" s="187"/>
      <c r="Q114" s="176" t="s">
        <v>100</v>
      </c>
      <c r="R114" s="188"/>
      <c r="S114" s="188" t="s">
        <v>101</v>
      </c>
      <c r="T114" s="186" t="s">
        <v>34</v>
      </c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95"/>
    </row>
    <row r="115" spans="1:58" s="179" customFormat="1" ht="13.5" customHeight="1" x14ac:dyDescent="0.35">
      <c r="A115" s="141">
        <v>2</v>
      </c>
      <c r="B115" s="141" t="s">
        <v>387</v>
      </c>
      <c r="C115" s="141" t="s">
        <v>338</v>
      </c>
      <c r="D115" s="141" t="s">
        <v>392</v>
      </c>
      <c r="E115" s="141" t="s">
        <v>393</v>
      </c>
      <c r="F115" s="141" t="s">
        <v>393</v>
      </c>
      <c r="G115" s="189">
        <f t="shared" ref="G115:G123" si="22">H115/10.764</f>
        <v>22705.871423262728</v>
      </c>
      <c r="H115" s="189">
        <v>244406</v>
      </c>
      <c r="I115" s="141" t="s">
        <v>394</v>
      </c>
      <c r="J115" s="190" t="s">
        <v>28</v>
      </c>
      <c r="K115" s="141" t="s">
        <v>341</v>
      </c>
      <c r="L115" s="191">
        <v>5</v>
      </c>
      <c r="M115" s="141"/>
      <c r="N115" s="142" t="s">
        <v>68</v>
      </c>
      <c r="O115" s="321"/>
      <c r="P115" s="192"/>
      <c r="Q115" s="192"/>
      <c r="R115" s="193"/>
      <c r="S115" s="193" t="s">
        <v>33</v>
      </c>
      <c r="T115" s="190" t="s">
        <v>34</v>
      </c>
    </row>
    <row r="116" spans="1:58" s="179" customFormat="1" ht="13.5" customHeight="1" x14ac:dyDescent="0.35">
      <c r="A116" s="141">
        <v>3</v>
      </c>
      <c r="B116" s="141" t="s">
        <v>387</v>
      </c>
      <c r="C116" s="141" t="s">
        <v>338</v>
      </c>
      <c r="D116" s="141" t="s">
        <v>392</v>
      </c>
      <c r="E116" s="141" t="s">
        <v>393</v>
      </c>
      <c r="F116" s="141" t="s">
        <v>393</v>
      </c>
      <c r="G116" s="189">
        <f t="shared" ref="G116" si="23">H116/10.764</f>
        <v>22185.61872909699</v>
      </c>
      <c r="H116" s="194">
        <v>238806</v>
      </c>
      <c r="I116" s="141" t="s">
        <v>395</v>
      </c>
      <c r="J116" s="190" t="s">
        <v>54</v>
      </c>
      <c r="K116" s="141" t="s">
        <v>341</v>
      </c>
      <c r="L116" s="191">
        <v>5</v>
      </c>
      <c r="M116" s="141"/>
      <c r="N116" s="141" t="s">
        <v>68</v>
      </c>
      <c r="O116" s="321"/>
      <c r="P116" s="192"/>
      <c r="Q116" s="192" t="s">
        <v>100</v>
      </c>
      <c r="R116" s="193"/>
      <c r="S116" s="193" t="s">
        <v>33</v>
      </c>
      <c r="T116" s="190" t="s">
        <v>34</v>
      </c>
    </row>
    <row r="117" spans="1:58" s="61" customFormat="1" ht="13.5" customHeight="1" x14ac:dyDescent="0.45">
      <c r="A117" s="96">
        <v>4</v>
      </c>
      <c r="B117" s="96" t="s">
        <v>387</v>
      </c>
      <c r="C117" s="96" t="s">
        <v>396</v>
      </c>
      <c r="D117" s="96" t="s">
        <v>392</v>
      </c>
      <c r="E117" s="96" t="s">
        <v>393</v>
      </c>
      <c r="F117" s="96" t="s">
        <v>393</v>
      </c>
      <c r="G117" s="97">
        <f t="shared" si="22"/>
        <v>7579.8959494611672</v>
      </c>
      <c r="H117" s="97">
        <v>81590</v>
      </c>
      <c r="I117" s="96" t="s">
        <v>60</v>
      </c>
      <c r="J117" s="186" t="s">
        <v>28</v>
      </c>
      <c r="K117" s="96" t="s">
        <v>219</v>
      </c>
      <c r="L117" s="103"/>
      <c r="M117" s="96"/>
      <c r="N117" s="96" t="s">
        <v>31</v>
      </c>
      <c r="O117" s="180"/>
      <c r="P117" s="187"/>
      <c r="Q117" s="187" t="s">
        <v>44</v>
      </c>
      <c r="R117" s="188"/>
      <c r="S117" s="188" t="s">
        <v>33</v>
      </c>
      <c r="T117" s="186" t="s">
        <v>34</v>
      </c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95"/>
    </row>
    <row r="118" spans="1:58" s="61" customFormat="1" ht="13.5" customHeight="1" x14ac:dyDescent="0.45">
      <c r="A118" s="96">
        <v>5</v>
      </c>
      <c r="B118" s="96" t="s">
        <v>387</v>
      </c>
      <c r="C118" s="96" t="s">
        <v>277</v>
      </c>
      <c r="D118" s="96" t="s">
        <v>397</v>
      </c>
      <c r="E118" s="96" t="s">
        <v>73</v>
      </c>
      <c r="F118" s="96" t="s">
        <v>393</v>
      </c>
      <c r="G118" s="97">
        <f t="shared" ref="G118:G119" si="24">H118/10.764</f>
        <v>36982.162764771463</v>
      </c>
      <c r="H118" s="97">
        <v>398076</v>
      </c>
      <c r="I118" s="96" t="s">
        <v>398</v>
      </c>
      <c r="J118" s="186" t="s">
        <v>40</v>
      </c>
      <c r="K118" s="96" t="s">
        <v>99</v>
      </c>
      <c r="L118" s="103"/>
      <c r="M118" s="168" t="s">
        <v>42</v>
      </c>
      <c r="N118" s="96" t="s">
        <v>31</v>
      </c>
      <c r="O118" s="180"/>
      <c r="P118" s="187"/>
      <c r="Q118" s="187" t="s">
        <v>57</v>
      </c>
      <c r="R118" s="188"/>
      <c r="S118" s="188" t="s">
        <v>33</v>
      </c>
      <c r="T118" s="186" t="s">
        <v>34</v>
      </c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95"/>
    </row>
    <row r="119" spans="1:58" s="61" customFormat="1" ht="13.5" customHeight="1" x14ac:dyDescent="0.45">
      <c r="A119" s="96">
        <v>6</v>
      </c>
      <c r="B119" s="96" t="s">
        <v>387</v>
      </c>
      <c r="C119" s="96" t="s">
        <v>399</v>
      </c>
      <c r="D119" s="96" t="s">
        <v>400</v>
      </c>
      <c r="E119" s="96" t="s">
        <v>73</v>
      </c>
      <c r="F119" s="96" t="s">
        <v>393</v>
      </c>
      <c r="G119" s="97">
        <f t="shared" si="24"/>
        <v>19021.924934968414</v>
      </c>
      <c r="H119" s="97">
        <v>204752</v>
      </c>
      <c r="I119" s="96" t="s">
        <v>48</v>
      </c>
      <c r="J119" s="186" t="s">
        <v>40</v>
      </c>
      <c r="K119" s="96" t="s">
        <v>49</v>
      </c>
      <c r="L119" s="103"/>
      <c r="M119" s="96"/>
      <c r="N119" s="96"/>
      <c r="O119" s="180"/>
      <c r="P119" s="187" t="s">
        <v>69</v>
      </c>
      <c r="Q119" s="176" t="s">
        <v>100</v>
      </c>
      <c r="R119" s="188"/>
      <c r="S119" s="188" t="s">
        <v>33</v>
      </c>
      <c r="T119" s="186" t="s">
        <v>34</v>
      </c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95"/>
    </row>
    <row r="120" spans="1:58" s="23" customFormat="1" ht="13.5" customHeight="1" x14ac:dyDescent="0.45">
      <c r="A120" s="96">
        <v>7</v>
      </c>
      <c r="B120" s="96" t="s">
        <v>387</v>
      </c>
      <c r="C120" s="141" t="s">
        <v>401</v>
      </c>
      <c r="D120" s="96" t="s">
        <v>402</v>
      </c>
      <c r="E120" s="96" t="s">
        <v>325</v>
      </c>
      <c r="F120" s="96" t="s">
        <v>38</v>
      </c>
      <c r="G120" s="97">
        <f t="shared" si="22"/>
        <v>4000.0000000000005</v>
      </c>
      <c r="H120" s="97">
        <v>43056</v>
      </c>
      <c r="I120" s="96" t="s">
        <v>403</v>
      </c>
      <c r="J120" s="186" t="s">
        <v>67</v>
      </c>
      <c r="K120" s="96" t="s">
        <v>99</v>
      </c>
      <c r="L120" s="103"/>
      <c r="M120" s="96"/>
      <c r="N120" s="96"/>
      <c r="O120" s="180"/>
      <c r="P120" s="187"/>
      <c r="Q120" s="187"/>
      <c r="R120" s="188"/>
      <c r="S120" s="193"/>
      <c r="T120" s="186" t="s">
        <v>112</v>
      </c>
    </row>
    <row r="121" spans="1:58" s="23" customFormat="1" ht="13.5" customHeight="1" x14ac:dyDescent="0.35">
      <c r="A121" s="96">
        <v>8</v>
      </c>
      <c r="B121" s="96" t="s">
        <v>387</v>
      </c>
      <c r="C121" s="141" t="s">
        <v>404</v>
      </c>
      <c r="D121" s="96" t="s">
        <v>402</v>
      </c>
      <c r="E121" s="96" t="s">
        <v>325</v>
      </c>
      <c r="F121" s="96" t="s">
        <v>38</v>
      </c>
      <c r="G121" s="97">
        <f t="shared" si="22"/>
        <v>4563.9167595689341</v>
      </c>
      <c r="H121" s="97">
        <v>49126</v>
      </c>
      <c r="I121" s="96" t="s">
        <v>405</v>
      </c>
      <c r="J121" s="186" t="s">
        <v>54</v>
      </c>
      <c r="K121" s="96" t="s">
        <v>128</v>
      </c>
      <c r="L121" s="103"/>
      <c r="M121" s="96"/>
      <c r="N121" s="91" t="s">
        <v>68</v>
      </c>
      <c r="O121" s="180"/>
      <c r="P121" s="187"/>
      <c r="Q121" s="187"/>
      <c r="R121" s="188"/>
      <c r="S121" s="193"/>
      <c r="T121" s="186" t="s">
        <v>112</v>
      </c>
    </row>
    <row r="122" spans="1:58" s="23" customFormat="1" ht="13.5" customHeight="1" x14ac:dyDescent="0.45">
      <c r="A122" s="96">
        <v>9</v>
      </c>
      <c r="B122" s="96" t="s">
        <v>387</v>
      </c>
      <c r="C122" s="141" t="s">
        <v>406</v>
      </c>
      <c r="D122" s="96" t="s">
        <v>407</v>
      </c>
      <c r="E122" s="96" t="s">
        <v>408</v>
      </c>
      <c r="F122" s="96" t="s">
        <v>38</v>
      </c>
      <c r="G122" s="97">
        <f t="shared" si="22"/>
        <v>16700.018580453365</v>
      </c>
      <c r="H122" s="97">
        <v>179759</v>
      </c>
      <c r="I122" s="96" t="s">
        <v>409</v>
      </c>
      <c r="J122" s="186" t="s">
        <v>67</v>
      </c>
      <c r="K122" s="96" t="s">
        <v>41</v>
      </c>
      <c r="L122" s="103">
        <v>5</v>
      </c>
      <c r="M122" s="96"/>
      <c r="N122" s="96" t="s">
        <v>31</v>
      </c>
      <c r="O122" s="180">
        <v>750</v>
      </c>
      <c r="P122" s="187" t="s">
        <v>69</v>
      </c>
      <c r="Q122" s="176" t="s">
        <v>100</v>
      </c>
      <c r="R122" s="188"/>
      <c r="S122" s="193"/>
      <c r="T122" s="186" t="s">
        <v>34</v>
      </c>
    </row>
    <row r="123" spans="1:58" s="23" customFormat="1" ht="13.5" customHeight="1" x14ac:dyDescent="0.35">
      <c r="A123" s="96">
        <v>10</v>
      </c>
      <c r="B123" s="96" t="s">
        <v>387</v>
      </c>
      <c r="C123" s="141" t="s">
        <v>410</v>
      </c>
      <c r="D123" s="96" t="s">
        <v>411</v>
      </c>
      <c r="E123" s="96" t="s">
        <v>177</v>
      </c>
      <c r="F123" s="96" t="s">
        <v>177</v>
      </c>
      <c r="G123" s="97">
        <f t="shared" si="22"/>
        <v>5363.5265700483096</v>
      </c>
      <c r="H123" s="97">
        <v>57733</v>
      </c>
      <c r="I123" s="96" t="s">
        <v>412</v>
      </c>
      <c r="J123" s="186" t="s">
        <v>54</v>
      </c>
      <c r="K123" s="96"/>
      <c r="L123" s="103">
        <v>10</v>
      </c>
      <c r="M123" s="96"/>
      <c r="N123" s="91" t="s">
        <v>68</v>
      </c>
      <c r="O123" s="180">
        <v>300</v>
      </c>
      <c r="P123" s="187" t="s">
        <v>69</v>
      </c>
      <c r="Q123" s="187"/>
      <c r="R123" s="188"/>
      <c r="S123" s="193"/>
      <c r="T123" s="186" t="s">
        <v>34</v>
      </c>
    </row>
    <row r="124" spans="1:58" s="61" customFormat="1" ht="13.5" customHeight="1" x14ac:dyDescent="0.45">
      <c r="A124" s="96">
        <v>11</v>
      </c>
      <c r="B124" s="96" t="s">
        <v>387</v>
      </c>
      <c r="C124" s="96" t="s">
        <v>413</v>
      </c>
      <c r="D124" s="96" t="s">
        <v>414</v>
      </c>
      <c r="E124" s="96" t="s">
        <v>177</v>
      </c>
      <c r="F124" s="96" t="s">
        <v>177</v>
      </c>
      <c r="G124" s="97">
        <f t="shared" ref="G124:G126" si="25">H124/10.764</f>
        <v>10166.945373467113</v>
      </c>
      <c r="H124" s="97">
        <v>109437</v>
      </c>
      <c r="I124" s="96" t="s">
        <v>48</v>
      </c>
      <c r="J124" s="186" t="s">
        <v>28</v>
      </c>
      <c r="K124" s="96" t="s">
        <v>99</v>
      </c>
      <c r="L124" s="103">
        <v>10</v>
      </c>
      <c r="M124" s="96" t="s">
        <v>415</v>
      </c>
      <c r="N124" s="96" t="s">
        <v>31</v>
      </c>
      <c r="O124" s="180"/>
      <c r="P124" s="187"/>
      <c r="Q124" s="187" t="s">
        <v>416</v>
      </c>
      <c r="R124" s="195" t="s">
        <v>417</v>
      </c>
      <c r="S124" s="188" t="s">
        <v>33</v>
      </c>
      <c r="T124" s="186" t="s">
        <v>34</v>
      </c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95"/>
    </row>
    <row r="125" spans="1:58" s="23" customFormat="1" ht="13.5" customHeight="1" x14ac:dyDescent="0.45">
      <c r="A125" s="96">
        <v>12</v>
      </c>
      <c r="B125" s="96" t="s">
        <v>387</v>
      </c>
      <c r="C125" s="96" t="s">
        <v>418</v>
      </c>
      <c r="D125" s="96" t="s">
        <v>419</v>
      </c>
      <c r="E125" s="96" t="s">
        <v>192</v>
      </c>
      <c r="F125" s="96" t="s">
        <v>38</v>
      </c>
      <c r="G125" s="97">
        <f t="shared" ref="G125" si="26">H125/10.764</f>
        <v>15328.8740245262</v>
      </c>
      <c r="H125" s="97">
        <v>165000</v>
      </c>
      <c r="I125" s="96" t="s">
        <v>60</v>
      </c>
      <c r="J125" s="186" t="s">
        <v>54</v>
      </c>
      <c r="K125" s="96"/>
      <c r="L125" s="103"/>
      <c r="M125" s="96"/>
      <c r="N125" s="96"/>
      <c r="O125" s="180"/>
      <c r="P125" s="187"/>
      <c r="Q125" s="187"/>
      <c r="R125" s="188"/>
      <c r="S125" s="188"/>
      <c r="T125" s="186"/>
    </row>
    <row r="126" spans="1:58" s="61" customFormat="1" ht="13.5" customHeight="1" x14ac:dyDescent="0.45">
      <c r="A126" s="96">
        <v>13</v>
      </c>
      <c r="B126" s="96" t="s">
        <v>387</v>
      </c>
      <c r="C126" s="96" t="s">
        <v>420</v>
      </c>
      <c r="D126" s="96" t="s">
        <v>421</v>
      </c>
      <c r="E126" s="96" t="s">
        <v>206</v>
      </c>
      <c r="F126" s="96" t="s">
        <v>207</v>
      </c>
      <c r="G126" s="97">
        <f t="shared" si="25"/>
        <v>4000.0000000000005</v>
      </c>
      <c r="H126" s="97">
        <v>43056</v>
      </c>
      <c r="I126" s="96" t="s">
        <v>60</v>
      </c>
      <c r="J126" s="186" t="s">
        <v>28</v>
      </c>
      <c r="K126" s="96" t="s">
        <v>49</v>
      </c>
      <c r="L126" s="103">
        <v>6</v>
      </c>
      <c r="M126" s="96" t="s">
        <v>231</v>
      </c>
      <c r="N126" s="96" t="s">
        <v>31</v>
      </c>
      <c r="O126" s="180"/>
      <c r="P126" s="187"/>
      <c r="Q126" s="176" t="s">
        <v>100</v>
      </c>
      <c r="R126" s="188"/>
      <c r="S126" s="188" t="s">
        <v>33</v>
      </c>
      <c r="T126" s="186" t="s">
        <v>34</v>
      </c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95"/>
    </row>
    <row r="127" spans="1:58" s="9" customFormat="1" ht="12.75" customHeight="1" x14ac:dyDescent="0.45">
      <c r="A127" s="346" t="s">
        <v>422</v>
      </c>
      <c r="B127" s="346"/>
      <c r="C127" s="346"/>
      <c r="D127" s="346"/>
      <c r="E127" s="346"/>
      <c r="F127" s="346"/>
      <c r="G127" s="112">
        <f>SUM(G114:G126)</f>
        <v>177887.68115942026</v>
      </c>
      <c r="H127" s="112">
        <f>SUM(H114:H126)</f>
        <v>1914783</v>
      </c>
      <c r="I127" s="208"/>
      <c r="J127" s="112"/>
      <c r="K127" s="208"/>
      <c r="L127" s="112"/>
      <c r="M127" s="208"/>
      <c r="N127" s="208"/>
      <c r="O127" s="175"/>
      <c r="P127" s="175"/>
      <c r="Q127" s="175"/>
      <c r="R127" s="174"/>
      <c r="S127" s="209"/>
      <c r="T127" s="174"/>
    </row>
    <row r="128" spans="1:58" s="10" customFormat="1" ht="20.25" customHeight="1" x14ac:dyDescent="0.45">
      <c r="A128" s="350" t="s">
        <v>423</v>
      </c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2"/>
    </row>
    <row r="129" spans="1:20" s="8" customFormat="1" ht="13.5" customHeight="1" x14ac:dyDescent="0.45">
      <c r="A129" s="96">
        <v>1</v>
      </c>
      <c r="B129" s="203" t="s">
        <v>424</v>
      </c>
      <c r="C129" s="141"/>
      <c r="D129" s="203"/>
      <c r="E129" s="141"/>
      <c r="F129" s="141"/>
      <c r="G129" s="189"/>
      <c r="H129" s="189"/>
      <c r="I129" s="141"/>
      <c r="J129" s="186"/>
      <c r="K129" s="96"/>
      <c r="L129" s="103"/>
      <c r="M129" s="96"/>
      <c r="N129" s="176"/>
      <c r="O129" s="180"/>
      <c r="P129" s="216"/>
      <c r="Q129" s="216"/>
      <c r="R129" s="188"/>
      <c r="S129" s="193"/>
      <c r="T129" s="186"/>
    </row>
    <row r="130" spans="1:20" s="9" customFormat="1" ht="12.75" customHeight="1" x14ac:dyDescent="0.45">
      <c r="A130" s="346" t="s">
        <v>425</v>
      </c>
      <c r="B130" s="346"/>
      <c r="C130" s="346"/>
      <c r="D130" s="346"/>
      <c r="E130" s="346"/>
      <c r="F130" s="346"/>
      <c r="G130" s="112">
        <f>SUM(G129:G129)</f>
        <v>0</v>
      </c>
      <c r="H130" s="112">
        <f>SUM(H129:H129)</f>
        <v>0</v>
      </c>
      <c r="I130" s="208"/>
      <c r="J130" s="112"/>
      <c r="K130" s="208"/>
      <c r="L130" s="112"/>
      <c r="M130" s="208"/>
      <c r="N130" s="208"/>
      <c r="O130" s="175"/>
      <c r="P130" s="175"/>
      <c r="Q130" s="175"/>
      <c r="R130" s="174"/>
      <c r="S130" s="209"/>
      <c r="T130" s="174"/>
    </row>
    <row r="131" spans="1:20" s="13" customFormat="1" ht="17.25" customHeight="1" x14ac:dyDescent="0.45">
      <c r="A131" s="229" t="s">
        <v>426</v>
      </c>
      <c r="B131" s="230"/>
      <c r="C131" s="230"/>
      <c r="D131" s="230"/>
      <c r="E131" s="229"/>
      <c r="F131" s="229"/>
      <c r="G131" s="121">
        <f>SUM(G55+G74+G77+G80+G96+G109+G112+G127+G130)</f>
        <v>1431556.1495726495</v>
      </c>
      <c r="H131" s="121">
        <f>SUM(H55+H74+H77+H80+H96+H109+H112+H127+H130)</f>
        <v>15409270.393999999</v>
      </c>
      <c r="I131" s="247"/>
      <c r="J131" s="248"/>
      <c r="K131" s="247"/>
      <c r="L131" s="250"/>
      <c r="M131" s="247"/>
      <c r="N131" s="249"/>
      <c r="O131" s="325"/>
      <c r="P131" s="249"/>
      <c r="Q131" s="249"/>
      <c r="R131" s="250"/>
      <c r="S131" s="250"/>
      <c r="T131" s="250"/>
    </row>
    <row r="139" spans="1:20" x14ac:dyDescent="0.45">
      <c r="C139"/>
      <c r="E139" s="84"/>
      <c r="F139" s="84"/>
      <c r="H139" s="340"/>
    </row>
    <row r="140" spans="1:20" x14ac:dyDescent="0.45">
      <c r="C140"/>
      <c r="E140" s="84"/>
      <c r="F140" s="84"/>
    </row>
    <row r="143" spans="1:20" x14ac:dyDescent="0.45">
      <c r="E143" s="198"/>
      <c r="F143" s="198"/>
    </row>
    <row r="145" spans="5:8" x14ac:dyDescent="0.45">
      <c r="E145" s="198"/>
      <c r="F145" s="198"/>
    </row>
    <row r="147" spans="5:8" x14ac:dyDescent="0.45">
      <c r="E147" s="198"/>
      <c r="F147" s="198"/>
      <c r="H147" s="340"/>
    </row>
  </sheetData>
  <autoFilter ref="A4:T131" xr:uid="{CFD705E7-85D7-4836-B708-667FA81B297A}"/>
  <mergeCells count="20">
    <mergeCell ref="A110:T110"/>
    <mergeCell ref="A113:T113"/>
    <mergeCell ref="A130:F130"/>
    <mergeCell ref="A128:T128"/>
    <mergeCell ref="A2:T2"/>
    <mergeCell ref="A3:T3"/>
    <mergeCell ref="A127:F127"/>
    <mergeCell ref="A109:F109"/>
    <mergeCell ref="A96:F96"/>
    <mergeCell ref="A80:F80"/>
    <mergeCell ref="A77:F77"/>
    <mergeCell ref="A74:F74"/>
    <mergeCell ref="A55:F55"/>
    <mergeCell ref="A112:F112"/>
    <mergeCell ref="A5:T5"/>
    <mergeCell ref="A56:T56"/>
    <mergeCell ref="A75:T75"/>
    <mergeCell ref="A78:T78"/>
    <mergeCell ref="A81:T81"/>
    <mergeCell ref="A97:T97"/>
  </mergeCells>
  <printOptions horizontalCentered="1"/>
  <pageMargins left="0.23622047244094491" right="0.23622047244094491" top="0.74803149606299213" bottom="0.74803149606299213" header="0.31496062992125984" footer="0.31496062992125984"/>
  <pageSetup paperSize="17"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92DD-58EB-44A2-9E17-E7794BDCBC32}">
  <sheetPr codeName="Hoja2"/>
  <dimension ref="A1:DE60"/>
  <sheetViews>
    <sheetView showWhiteSpace="0" zoomScale="90" zoomScaleNormal="90" zoomScaleSheetLayoutView="90" workbookViewId="0">
      <selection activeCell="H29" sqref="H29"/>
    </sheetView>
  </sheetViews>
  <sheetFormatPr baseColWidth="10" defaultColWidth="11.3984375" defaultRowHeight="15" customHeight="1" x14ac:dyDescent="0.45"/>
  <cols>
    <col min="1" max="1" width="3" customWidth="1"/>
    <col min="2" max="2" width="17.86328125" bestFit="1" customWidth="1"/>
    <col min="3" max="3" width="24.73046875" customWidth="1"/>
    <col min="4" max="4" width="37.59765625" customWidth="1"/>
    <col min="5" max="5" width="22.3984375" customWidth="1"/>
    <col min="6" max="6" width="20" customWidth="1"/>
    <col min="7" max="7" width="19.1328125" customWidth="1"/>
    <col min="8" max="8" width="13.59765625" customWidth="1"/>
    <col min="9" max="9" width="18" customWidth="1"/>
    <col min="10" max="10" width="27.3984375" customWidth="1"/>
    <col min="11" max="11" width="11.1328125" customWidth="1"/>
  </cols>
  <sheetData>
    <row r="1" spans="1:19" s="14" customFormat="1" ht="21.75" x14ac:dyDescent="0.45">
      <c r="A1" s="357" t="s">
        <v>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278"/>
      <c r="M1" s="278"/>
      <c r="N1" s="278"/>
      <c r="O1" s="278"/>
      <c r="P1" s="279"/>
      <c r="Q1" s="279"/>
      <c r="R1" s="279"/>
      <c r="S1" s="279"/>
    </row>
    <row r="2" spans="1:19" s="14" customFormat="1" ht="14.25" x14ac:dyDescent="0.45">
      <c r="A2" s="358" t="s">
        <v>427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279"/>
      <c r="M2" s="279"/>
      <c r="N2" s="279"/>
      <c r="O2" s="279"/>
      <c r="P2" s="279"/>
      <c r="Q2" s="279"/>
      <c r="R2" s="279"/>
      <c r="S2" s="279"/>
    </row>
    <row r="3" spans="1:19" s="15" customFormat="1" ht="15" customHeight="1" x14ac:dyDescent="0.45">
      <c r="A3" s="65"/>
    </row>
    <row r="4" spans="1:19" s="134" customFormat="1" ht="15" customHeight="1" x14ac:dyDescent="0.45">
      <c r="A4" s="220"/>
      <c r="B4" s="221" t="s">
        <v>2</v>
      </c>
      <c r="C4" s="221" t="s">
        <v>428</v>
      </c>
      <c r="D4" s="221" t="s">
        <v>429</v>
      </c>
      <c r="E4" s="221" t="s">
        <v>5</v>
      </c>
      <c r="F4" s="221" t="s">
        <v>430</v>
      </c>
      <c r="G4" s="121" t="s">
        <v>431</v>
      </c>
      <c r="H4" s="221" t="s">
        <v>432</v>
      </c>
      <c r="I4" s="121" t="s">
        <v>433</v>
      </c>
      <c r="J4" s="121" t="s">
        <v>16</v>
      </c>
      <c r="K4" s="221" t="s">
        <v>434</v>
      </c>
      <c r="L4" s="280"/>
      <c r="M4" s="280"/>
      <c r="N4" s="280"/>
      <c r="O4" s="280"/>
      <c r="P4" s="280"/>
      <c r="Q4" s="280"/>
      <c r="R4" s="280"/>
      <c r="S4" s="280"/>
    </row>
    <row r="5" spans="1:19" s="14" customFormat="1" ht="15" customHeight="1" x14ac:dyDescent="0.45">
      <c r="A5" s="223"/>
      <c r="B5" s="350" t="s">
        <v>21</v>
      </c>
      <c r="C5" s="351"/>
      <c r="D5" s="351"/>
      <c r="E5" s="351"/>
      <c r="F5" s="351"/>
      <c r="G5" s="351"/>
      <c r="H5" s="351"/>
      <c r="I5" s="351"/>
      <c r="J5" s="351"/>
      <c r="K5" s="352"/>
      <c r="L5" s="281"/>
      <c r="M5" s="282"/>
      <c r="N5" s="279"/>
      <c r="O5" s="279"/>
      <c r="P5" s="279"/>
      <c r="Q5" s="279"/>
      <c r="R5" s="279"/>
      <c r="S5" s="279"/>
    </row>
    <row r="6" spans="1:19" s="136" customFormat="1" ht="13.15" x14ac:dyDescent="0.35">
      <c r="A6" s="96">
        <v>1</v>
      </c>
      <c r="B6" s="96" t="s">
        <v>22</v>
      </c>
      <c r="C6" s="91" t="s">
        <v>435</v>
      </c>
      <c r="D6" s="91" t="s">
        <v>24</v>
      </c>
      <c r="E6" s="96" t="s">
        <v>25</v>
      </c>
      <c r="F6" s="97">
        <f>H6/10.764</f>
        <v>20026.941657376443</v>
      </c>
      <c r="G6" s="227">
        <v>20026.941657376443</v>
      </c>
      <c r="H6" s="97">
        <v>215570</v>
      </c>
      <c r="I6" s="97">
        <v>215570</v>
      </c>
      <c r="J6" s="97"/>
      <c r="K6" s="103" t="s">
        <v>34</v>
      </c>
      <c r="L6" s="283"/>
      <c r="M6" s="284"/>
      <c r="N6" s="284"/>
      <c r="O6" s="284"/>
    </row>
    <row r="7" spans="1:19" s="136" customFormat="1" ht="13.15" x14ac:dyDescent="0.35">
      <c r="A7" s="96">
        <v>2</v>
      </c>
      <c r="B7" s="96" t="s">
        <v>22</v>
      </c>
      <c r="C7" s="91" t="s">
        <v>436</v>
      </c>
      <c r="D7" s="91" t="s">
        <v>437</v>
      </c>
      <c r="E7" s="96" t="s">
        <v>438</v>
      </c>
      <c r="F7" s="97">
        <f>H7/10.764</f>
        <v>9664.4370122630989</v>
      </c>
      <c r="G7" s="227">
        <v>4087.699739873653</v>
      </c>
      <c r="H7" s="97">
        <v>104028</v>
      </c>
      <c r="I7" s="97">
        <v>44000</v>
      </c>
      <c r="J7" s="97"/>
      <c r="K7" s="103" t="s">
        <v>112</v>
      </c>
      <c r="L7" s="283"/>
      <c r="M7" s="284"/>
      <c r="N7" s="284"/>
      <c r="O7" s="284"/>
    </row>
    <row r="8" spans="1:19" s="136" customFormat="1" ht="14.25" customHeight="1" x14ac:dyDescent="0.45">
      <c r="A8" s="96">
        <v>3</v>
      </c>
      <c r="B8" s="96" t="s">
        <v>22</v>
      </c>
      <c r="C8" s="96" t="s">
        <v>439</v>
      </c>
      <c r="D8" s="148" t="s">
        <v>440</v>
      </c>
      <c r="E8" s="148" t="s">
        <v>47</v>
      </c>
      <c r="F8" s="97">
        <f t="shared" ref="F8:F16" si="0">H8/10.764</f>
        <v>13000</v>
      </c>
      <c r="G8" s="227">
        <v>5000</v>
      </c>
      <c r="H8" s="97">
        <v>139932</v>
      </c>
      <c r="I8" s="97">
        <v>53820</v>
      </c>
      <c r="J8" s="97"/>
      <c r="K8" s="103" t="s">
        <v>34</v>
      </c>
    </row>
    <row r="9" spans="1:19" s="136" customFormat="1" ht="14.25" customHeight="1" x14ac:dyDescent="0.45">
      <c r="A9" s="96">
        <v>4</v>
      </c>
      <c r="B9" s="96" t="s">
        <v>22</v>
      </c>
      <c r="C9" s="96" t="s">
        <v>441</v>
      </c>
      <c r="D9" s="148" t="s">
        <v>442</v>
      </c>
      <c r="E9" s="148" t="s">
        <v>47</v>
      </c>
      <c r="F9" s="97">
        <f t="shared" si="0"/>
        <v>6488.8517279821635</v>
      </c>
      <c r="G9" s="227">
        <v>6488.8517279821635</v>
      </c>
      <c r="H9" s="97">
        <v>69846</v>
      </c>
      <c r="I9" s="97">
        <v>69846</v>
      </c>
      <c r="J9" s="97"/>
      <c r="K9" s="103" t="s">
        <v>34</v>
      </c>
    </row>
    <row r="10" spans="1:19" s="136" customFormat="1" ht="13.15" x14ac:dyDescent="0.45">
      <c r="A10" s="96">
        <v>5</v>
      </c>
      <c r="B10" s="96" t="s">
        <v>22</v>
      </c>
      <c r="C10" s="96" t="s">
        <v>443</v>
      </c>
      <c r="D10" s="96" t="s">
        <v>444</v>
      </c>
      <c r="E10" s="96" t="s">
        <v>79</v>
      </c>
      <c r="F10" s="97">
        <f t="shared" si="0"/>
        <v>38225.009290226684</v>
      </c>
      <c r="G10" s="227">
        <v>209.95912300260127</v>
      </c>
      <c r="H10" s="97">
        <v>411454</v>
      </c>
      <c r="I10" s="97">
        <v>2260</v>
      </c>
      <c r="J10" s="97"/>
      <c r="K10" s="103" t="s">
        <v>34</v>
      </c>
      <c r="L10" s="283"/>
      <c r="M10" s="284"/>
      <c r="N10" s="284"/>
      <c r="O10" s="284"/>
    </row>
    <row r="11" spans="1:19" s="136" customFormat="1" ht="14.1" customHeight="1" x14ac:dyDescent="0.45">
      <c r="A11" s="96">
        <v>6</v>
      </c>
      <c r="B11" s="96" t="s">
        <v>22</v>
      </c>
      <c r="C11" s="96" t="s">
        <v>445</v>
      </c>
      <c r="D11" s="96" t="s">
        <v>446</v>
      </c>
      <c r="E11" s="96" t="s">
        <v>447</v>
      </c>
      <c r="F11" s="97">
        <f t="shared" si="0"/>
        <v>7043.9427722036426</v>
      </c>
      <c r="G11" s="227">
        <v>3521.9249349684133</v>
      </c>
      <c r="H11" s="97">
        <v>75821</v>
      </c>
      <c r="I11" s="97">
        <v>37910</v>
      </c>
      <c r="J11" s="189"/>
      <c r="K11" s="103" t="s">
        <v>34</v>
      </c>
      <c r="L11" s="285"/>
      <c r="M11" s="286"/>
    </row>
    <row r="12" spans="1:19" s="136" customFormat="1" ht="13.15" x14ac:dyDescent="0.35">
      <c r="A12" s="96">
        <v>7</v>
      </c>
      <c r="B12" s="96" t="s">
        <v>22</v>
      </c>
      <c r="C12" s="91" t="s">
        <v>448</v>
      </c>
      <c r="D12" s="91" t="s">
        <v>64</v>
      </c>
      <c r="E12" s="96" t="s">
        <v>120</v>
      </c>
      <c r="F12" s="97">
        <f t="shared" si="0"/>
        <v>8157.0048309178746</v>
      </c>
      <c r="G12" s="227">
        <v>8157.0048309178746</v>
      </c>
      <c r="H12" s="97">
        <v>87802</v>
      </c>
      <c r="I12" s="97">
        <v>87802</v>
      </c>
      <c r="J12" s="97"/>
      <c r="K12" s="103" t="s">
        <v>112</v>
      </c>
      <c r="L12" s="283"/>
      <c r="M12" s="284"/>
      <c r="N12" s="284"/>
      <c r="O12" s="284"/>
    </row>
    <row r="13" spans="1:19" s="136" customFormat="1" ht="14.1" customHeight="1" x14ac:dyDescent="0.45">
      <c r="A13" s="96">
        <v>8</v>
      </c>
      <c r="B13" s="96" t="s">
        <v>22</v>
      </c>
      <c r="C13" s="96" t="s">
        <v>449</v>
      </c>
      <c r="D13" s="148" t="s">
        <v>450</v>
      </c>
      <c r="E13" s="148" t="s">
        <v>451</v>
      </c>
      <c r="F13" s="97">
        <f t="shared" si="0"/>
        <v>9985.9717577108895</v>
      </c>
      <c r="G13" s="227">
        <v>9985.9717577108895</v>
      </c>
      <c r="H13" s="97">
        <v>107489</v>
      </c>
      <c r="I13" s="97">
        <v>107489</v>
      </c>
      <c r="J13" s="97"/>
      <c r="K13" s="103" t="s">
        <v>112</v>
      </c>
      <c r="L13" s="285"/>
    </row>
    <row r="14" spans="1:19" s="136" customFormat="1" ht="14.1" customHeight="1" x14ac:dyDescent="0.45">
      <c r="A14" s="96">
        <v>9</v>
      </c>
      <c r="B14" s="96" t="s">
        <v>22</v>
      </c>
      <c r="C14" s="96" t="s">
        <v>452</v>
      </c>
      <c r="D14" s="148" t="s">
        <v>450</v>
      </c>
      <c r="E14" s="148" t="s">
        <v>451</v>
      </c>
      <c r="F14" s="97">
        <f t="shared" si="0"/>
        <v>2878.0193236714977</v>
      </c>
      <c r="G14" s="227">
        <v>2878.0193236714977</v>
      </c>
      <c r="H14" s="97">
        <v>30979</v>
      </c>
      <c r="I14" s="97">
        <v>30979</v>
      </c>
      <c r="J14" s="97"/>
      <c r="K14" s="103" t="s">
        <v>112</v>
      </c>
      <c r="L14" s="285"/>
    </row>
    <row r="15" spans="1:19" s="146" customFormat="1" ht="13.15" x14ac:dyDescent="0.45">
      <c r="A15" s="96">
        <v>10</v>
      </c>
      <c r="B15" s="96" t="s">
        <v>22</v>
      </c>
      <c r="C15" s="96" t="s">
        <v>137</v>
      </c>
      <c r="D15" s="96" t="s">
        <v>453</v>
      </c>
      <c r="E15" s="96" t="s">
        <v>126</v>
      </c>
      <c r="F15" s="97">
        <f>H15/10.764</f>
        <v>11718.691936083242</v>
      </c>
      <c r="G15" s="227">
        <v>11719</v>
      </c>
      <c r="H15" s="97">
        <v>126140</v>
      </c>
      <c r="I15" s="97">
        <v>126140</v>
      </c>
      <c r="J15" s="103" t="s">
        <v>454</v>
      </c>
      <c r="K15" s="97" t="s">
        <v>112</v>
      </c>
      <c r="L15" s="287"/>
      <c r="M15" s="288"/>
      <c r="N15" s="289"/>
      <c r="P15" s="290"/>
      <c r="R15" s="291"/>
    </row>
    <row r="16" spans="1:19" s="136" customFormat="1" ht="13.15" x14ac:dyDescent="0.35">
      <c r="A16" s="96">
        <v>11</v>
      </c>
      <c r="B16" s="96" t="s">
        <v>22</v>
      </c>
      <c r="C16" s="91" t="s">
        <v>455</v>
      </c>
      <c r="D16" s="91" t="s">
        <v>185</v>
      </c>
      <c r="E16" s="96" t="s">
        <v>177</v>
      </c>
      <c r="F16" s="97">
        <f t="shared" si="0"/>
        <v>11148.272017837236</v>
      </c>
      <c r="G16" s="227">
        <v>7729.9331103678933</v>
      </c>
      <c r="H16" s="97">
        <v>120000</v>
      </c>
      <c r="I16" s="97">
        <v>83205</v>
      </c>
      <c r="J16" s="97"/>
      <c r="K16" s="103" t="s">
        <v>34</v>
      </c>
      <c r="L16" s="283"/>
      <c r="M16" s="284"/>
      <c r="N16" s="284"/>
      <c r="O16" s="284"/>
    </row>
    <row r="17" spans="1:109" s="136" customFormat="1" ht="14.1" customHeight="1" x14ac:dyDescent="0.45">
      <c r="A17" s="96">
        <v>12</v>
      </c>
      <c r="B17" s="96" t="s">
        <v>22</v>
      </c>
      <c r="C17" s="96" t="s">
        <v>456</v>
      </c>
      <c r="D17" s="148" t="s">
        <v>182</v>
      </c>
      <c r="E17" s="148" t="s">
        <v>177</v>
      </c>
      <c r="F17" s="97">
        <v>7390</v>
      </c>
      <c r="G17" s="227">
        <v>7389.7250092902268</v>
      </c>
      <c r="H17" s="97">
        <v>79543</v>
      </c>
      <c r="I17" s="97">
        <v>79543</v>
      </c>
      <c r="J17" s="97"/>
      <c r="K17" s="103" t="s">
        <v>34</v>
      </c>
      <c r="L17" s="285"/>
    </row>
    <row r="18" spans="1:109" s="136" customFormat="1" ht="13.15" x14ac:dyDescent="0.35">
      <c r="A18" s="96">
        <v>13</v>
      </c>
      <c r="B18" s="96" t="s">
        <v>22</v>
      </c>
      <c r="C18" s="91" t="s">
        <v>457</v>
      </c>
      <c r="D18" s="96" t="s">
        <v>458</v>
      </c>
      <c r="E18" s="96" t="s">
        <v>459</v>
      </c>
      <c r="F18" s="97">
        <f>H18/10.764</f>
        <v>23399.758454106282</v>
      </c>
      <c r="G18" s="227">
        <f>18000/10.764</f>
        <v>1672.2408026755854</v>
      </c>
      <c r="H18" s="97">
        <v>251875</v>
      </c>
      <c r="I18" s="97">
        <v>18000</v>
      </c>
      <c r="J18" s="97" t="s">
        <v>454</v>
      </c>
      <c r="K18" s="103" t="s">
        <v>112</v>
      </c>
      <c r="L18" s="283"/>
      <c r="M18" s="284"/>
      <c r="N18" s="284"/>
      <c r="O18" s="284"/>
    </row>
    <row r="19" spans="1:109" s="136" customFormat="1" ht="13.15" x14ac:dyDescent="0.35">
      <c r="A19" s="96">
        <v>14</v>
      </c>
      <c r="B19" s="96" t="s">
        <v>22</v>
      </c>
      <c r="C19" s="91" t="s">
        <v>460</v>
      </c>
      <c r="D19" s="96" t="s">
        <v>458</v>
      </c>
      <c r="E19" s="96" t="s">
        <v>459</v>
      </c>
      <c r="F19" s="97">
        <f>H19/10.764</f>
        <v>10799.981419546637</v>
      </c>
      <c r="G19" s="227">
        <f>18000/10.764</f>
        <v>1672.2408026755854</v>
      </c>
      <c r="H19" s="97">
        <v>116251</v>
      </c>
      <c r="I19" s="97">
        <v>18000</v>
      </c>
      <c r="J19" s="97" t="s">
        <v>454</v>
      </c>
      <c r="K19" s="103" t="s">
        <v>112</v>
      </c>
      <c r="L19" s="283"/>
      <c r="M19" s="284"/>
      <c r="N19" s="284"/>
      <c r="O19" s="284"/>
    </row>
    <row r="20" spans="1:109" s="136" customFormat="1" ht="13.15" x14ac:dyDescent="0.35">
      <c r="A20" s="96">
        <v>15</v>
      </c>
      <c r="B20" s="96" t="s">
        <v>22</v>
      </c>
      <c r="C20" s="91" t="s">
        <v>461</v>
      </c>
      <c r="D20" s="96" t="s">
        <v>196</v>
      </c>
      <c r="E20" s="96" t="s">
        <v>197</v>
      </c>
      <c r="F20" s="97">
        <v>20700</v>
      </c>
      <c r="G20" s="227">
        <v>6490</v>
      </c>
      <c r="H20" s="97">
        <f>F20*10.764</f>
        <v>222814.8</v>
      </c>
      <c r="I20" s="97">
        <f>G20*10.764</f>
        <v>69858.36</v>
      </c>
      <c r="J20" s="97"/>
      <c r="K20" s="103"/>
      <c r="L20" s="283"/>
      <c r="M20" s="284"/>
      <c r="N20" s="284"/>
      <c r="O20" s="284"/>
    </row>
    <row r="21" spans="1:109" s="136" customFormat="1" ht="13.15" x14ac:dyDescent="0.35">
      <c r="A21" s="96">
        <v>16</v>
      </c>
      <c r="B21" s="96" t="s">
        <v>22</v>
      </c>
      <c r="C21" s="91" t="s">
        <v>462</v>
      </c>
      <c r="D21" s="91" t="s">
        <v>196</v>
      </c>
      <c r="E21" s="96" t="s">
        <v>197</v>
      </c>
      <c r="F21" s="97">
        <f>H21/10.764</f>
        <v>20711.817168338908</v>
      </c>
      <c r="G21" s="227">
        <v>20711.817168338908</v>
      </c>
      <c r="H21" s="97">
        <v>222942</v>
      </c>
      <c r="I21" s="97">
        <v>222942</v>
      </c>
      <c r="J21" s="97"/>
      <c r="K21" s="103" t="s">
        <v>34</v>
      </c>
      <c r="L21" s="283"/>
      <c r="M21" s="284"/>
      <c r="N21" s="284"/>
      <c r="O21" s="284"/>
    </row>
    <row r="22" spans="1:109" s="9" customFormat="1" ht="15" customHeight="1" x14ac:dyDescent="0.45">
      <c r="A22" s="103"/>
      <c r="B22" s="346" t="s">
        <v>233</v>
      </c>
      <c r="C22" s="346"/>
      <c r="D22" s="346"/>
      <c r="E22" s="346"/>
      <c r="F22" s="346"/>
      <c r="G22" s="346"/>
      <c r="H22" s="346"/>
      <c r="I22" s="112">
        <f>SUM(I6:I21)</f>
        <v>1267364.3599999999</v>
      </c>
      <c r="J22" s="112"/>
      <c r="K22" s="103"/>
      <c r="L22" s="292"/>
      <c r="M22" s="292"/>
      <c r="N22" s="292"/>
      <c r="O22" s="292"/>
      <c r="P22" s="292"/>
      <c r="Q22" s="292"/>
      <c r="R22" s="292"/>
      <c r="S22" s="292"/>
    </row>
    <row r="23" spans="1:109" s="14" customFormat="1" ht="14.25" customHeight="1" x14ac:dyDescent="0.45">
      <c r="A23" s="223"/>
      <c r="B23" s="350" t="s">
        <v>304</v>
      </c>
      <c r="C23" s="351"/>
      <c r="D23" s="351"/>
      <c r="E23" s="351"/>
      <c r="F23" s="351"/>
      <c r="G23" s="351"/>
      <c r="H23" s="351"/>
      <c r="I23" s="351"/>
      <c r="J23" s="351"/>
      <c r="K23" s="352"/>
      <c r="L23" s="293"/>
      <c r="M23" s="279"/>
      <c r="N23" s="279"/>
      <c r="O23" s="279"/>
      <c r="P23" s="279"/>
      <c r="Q23" s="279"/>
      <c r="R23" s="279"/>
      <c r="S23" s="279"/>
    </row>
    <row r="24" spans="1:109" s="102" customFormat="1" ht="13.15" x14ac:dyDescent="0.35">
      <c r="A24" s="103">
        <v>1</v>
      </c>
      <c r="B24" s="96" t="s">
        <v>298</v>
      </c>
      <c r="C24" s="96" t="s">
        <v>463</v>
      </c>
      <c r="D24" s="96" t="s">
        <v>464</v>
      </c>
      <c r="E24" s="96" t="s">
        <v>307</v>
      </c>
      <c r="F24" s="97">
        <f>G24</f>
        <v>18000</v>
      </c>
      <c r="G24" s="97">
        <f>H24/10.764</f>
        <v>18000</v>
      </c>
      <c r="H24" s="97">
        <v>193752</v>
      </c>
      <c r="I24" s="97">
        <v>193752</v>
      </c>
      <c r="J24" s="97" t="s">
        <v>465</v>
      </c>
      <c r="K24" s="97" t="s">
        <v>34</v>
      </c>
      <c r="L24" s="294"/>
      <c r="M24" s="294"/>
      <c r="N24" s="23"/>
      <c r="O24" s="295"/>
      <c r="P24" s="296"/>
      <c r="Q24" s="296"/>
      <c r="R24" s="296"/>
    </row>
    <row r="25" spans="1:109" s="102" customFormat="1" ht="13.15" x14ac:dyDescent="0.35">
      <c r="A25" s="103">
        <v>2</v>
      </c>
      <c r="B25" s="96" t="s">
        <v>298</v>
      </c>
      <c r="C25" s="96" t="s">
        <v>466</v>
      </c>
      <c r="D25" s="96" t="s">
        <v>467</v>
      </c>
      <c r="E25" s="96" t="s">
        <v>393</v>
      </c>
      <c r="F25" s="97">
        <f>H25/10.764</f>
        <v>4987.9227053140103</v>
      </c>
      <c r="G25" s="97">
        <f>H25/10.764</f>
        <v>4987.9227053140103</v>
      </c>
      <c r="H25" s="97">
        <v>53690</v>
      </c>
      <c r="I25" s="97">
        <v>53690</v>
      </c>
      <c r="J25" s="97"/>
      <c r="K25" s="97"/>
      <c r="L25" s="294"/>
      <c r="M25" s="294"/>
      <c r="N25" s="23"/>
      <c r="O25" s="295"/>
      <c r="P25" s="296"/>
      <c r="Q25" s="296"/>
      <c r="R25" s="296"/>
    </row>
    <row r="26" spans="1:109" s="9" customFormat="1" ht="13.15" x14ac:dyDescent="0.45">
      <c r="A26" s="103">
        <v>3</v>
      </c>
      <c r="B26" s="96" t="s">
        <v>298</v>
      </c>
      <c r="C26" s="96" t="s">
        <v>468</v>
      </c>
      <c r="D26" s="96" t="s">
        <v>469</v>
      </c>
      <c r="E26" s="96" t="s">
        <v>470</v>
      </c>
      <c r="F26" s="97">
        <f>H26/10.764</f>
        <v>2574.0431066518026</v>
      </c>
      <c r="G26" s="97">
        <f>I26/10.764</f>
        <v>2574.0431066518026</v>
      </c>
      <c r="H26" s="97">
        <v>27707</v>
      </c>
      <c r="I26" s="97">
        <v>27707</v>
      </c>
      <c r="J26" s="219"/>
      <c r="K26" s="103" t="s">
        <v>112</v>
      </c>
      <c r="L26" s="297"/>
      <c r="M26" s="292"/>
      <c r="N26" s="292"/>
      <c r="O26" s="292"/>
      <c r="P26" s="292"/>
      <c r="Q26" s="292"/>
      <c r="R26" s="292"/>
      <c r="S26" s="292"/>
    </row>
    <row r="27" spans="1:109" s="9" customFormat="1" ht="13.15" x14ac:dyDescent="0.45">
      <c r="A27" s="103">
        <v>4</v>
      </c>
      <c r="B27" s="96" t="s">
        <v>298</v>
      </c>
      <c r="C27" s="96" t="s">
        <v>439</v>
      </c>
      <c r="D27" s="96" t="s">
        <v>469</v>
      </c>
      <c r="E27" s="96" t="s">
        <v>470</v>
      </c>
      <c r="F27" s="97">
        <f>H27/10.764</f>
        <v>2979.00408769974</v>
      </c>
      <c r="G27" s="97">
        <f>I27/10.764</f>
        <v>2979.00408769974</v>
      </c>
      <c r="H27" s="97">
        <v>32066</v>
      </c>
      <c r="I27" s="97">
        <v>32066</v>
      </c>
      <c r="J27" s="219"/>
      <c r="K27" s="103" t="s">
        <v>112</v>
      </c>
      <c r="L27" s="297"/>
      <c r="M27" s="292"/>
      <c r="N27" s="292"/>
      <c r="O27" s="292"/>
      <c r="P27" s="292"/>
      <c r="Q27" s="292"/>
      <c r="R27" s="292"/>
      <c r="S27" s="292"/>
    </row>
    <row r="28" spans="1:109" s="9" customFormat="1" ht="13.15" x14ac:dyDescent="0.45">
      <c r="A28" s="103">
        <v>5</v>
      </c>
      <c r="B28" s="96" t="s">
        <v>298</v>
      </c>
      <c r="C28" s="96" t="s">
        <v>471</v>
      </c>
      <c r="D28" s="96" t="s">
        <v>472</v>
      </c>
      <c r="E28" s="96" t="s">
        <v>473</v>
      </c>
      <c r="F28" s="97">
        <f>H28/10.764</f>
        <v>18586.956521739132</v>
      </c>
      <c r="G28" s="97">
        <f>I28/10.764</f>
        <v>2799.981419546637</v>
      </c>
      <c r="H28" s="97">
        <v>200070</v>
      </c>
      <c r="I28" s="97">
        <v>30139</v>
      </c>
      <c r="J28" s="219"/>
      <c r="K28" s="103" t="s">
        <v>34</v>
      </c>
      <c r="L28" s="297"/>
      <c r="M28" s="292"/>
      <c r="N28" s="292"/>
      <c r="O28" s="292"/>
      <c r="P28" s="292"/>
      <c r="Q28" s="292"/>
      <c r="R28" s="292"/>
      <c r="S28" s="292"/>
    </row>
    <row r="29" spans="1:109" s="109" customFormat="1" ht="13.15" x14ac:dyDescent="0.45">
      <c r="A29" s="103">
        <v>6</v>
      </c>
      <c r="B29" s="96" t="s">
        <v>298</v>
      </c>
      <c r="C29" s="96" t="s">
        <v>474</v>
      </c>
      <c r="D29" s="96" t="s">
        <v>475</v>
      </c>
      <c r="E29" s="96" t="s">
        <v>476</v>
      </c>
      <c r="F29" s="97">
        <f>H29/10.764</f>
        <v>7773.9687848383501</v>
      </c>
      <c r="G29" s="97">
        <f>I29/10.764</f>
        <v>7773.9687848383501</v>
      </c>
      <c r="H29" s="97">
        <v>83679</v>
      </c>
      <c r="I29" s="97">
        <v>83679</v>
      </c>
      <c r="J29" s="219"/>
      <c r="K29" s="103" t="s">
        <v>34</v>
      </c>
      <c r="L29" s="298"/>
      <c r="M29" s="299"/>
      <c r="N29" s="299"/>
      <c r="O29" s="299"/>
      <c r="P29" s="299"/>
      <c r="Q29" s="299"/>
      <c r="R29" s="299"/>
      <c r="S29" s="299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300"/>
      <c r="AF29" s="300"/>
      <c r="AG29" s="300"/>
      <c r="AH29" s="300"/>
      <c r="AI29" s="300"/>
      <c r="AJ29" s="300"/>
      <c r="AK29" s="300"/>
      <c r="AL29" s="300"/>
      <c r="AM29" s="300"/>
      <c r="AN29" s="300"/>
      <c r="AO29" s="300"/>
      <c r="AP29" s="300"/>
      <c r="AQ29" s="300"/>
      <c r="AR29" s="300"/>
      <c r="AS29" s="300"/>
      <c r="AT29" s="300"/>
      <c r="AU29" s="300"/>
      <c r="AV29" s="300"/>
      <c r="AW29" s="300"/>
      <c r="AX29" s="300"/>
      <c r="AY29" s="300"/>
      <c r="AZ29" s="300"/>
      <c r="BA29" s="300"/>
      <c r="BB29" s="300"/>
      <c r="BC29" s="300"/>
      <c r="BD29" s="300"/>
      <c r="BE29" s="300"/>
      <c r="BF29" s="300"/>
      <c r="BG29" s="300"/>
      <c r="BH29" s="300"/>
      <c r="BI29" s="300"/>
      <c r="BJ29" s="300"/>
      <c r="BK29" s="300"/>
      <c r="BL29" s="300"/>
      <c r="BM29" s="300"/>
      <c r="BN29" s="300"/>
      <c r="BO29" s="300"/>
      <c r="BP29" s="300"/>
      <c r="BQ29" s="300"/>
      <c r="BR29" s="300"/>
      <c r="BS29" s="300"/>
      <c r="BT29" s="300"/>
      <c r="BU29" s="300"/>
      <c r="BV29" s="300"/>
      <c r="BW29" s="300"/>
      <c r="BX29" s="300"/>
      <c r="BY29" s="300"/>
      <c r="BZ29" s="300"/>
      <c r="CA29" s="300"/>
      <c r="CB29" s="300"/>
      <c r="CC29" s="300"/>
      <c r="CD29" s="300"/>
      <c r="CE29" s="300"/>
      <c r="CF29" s="300"/>
      <c r="CG29" s="300"/>
      <c r="CH29" s="300"/>
      <c r="CI29" s="300"/>
      <c r="CJ29" s="300"/>
      <c r="CK29" s="300"/>
      <c r="CL29" s="300"/>
      <c r="CM29" s="300"/>
      <c r="CN29" s="300"/>
      <c r="CO29" s="300"/>
      <c r="CP29" s="300"/>
      <c r="CQ29" s="300"/>
      <c r="CR29" s="300"/>
      <c r="CS29" s="300"/>
      <c r="CT29" s="300"/>
      <c r="CU29" s="300"/>
      <c r="CV29" s="300"/>
      <c r="CW29" s="300"/>
      <c r="CX29" s="300"/>
      <c r="CY29" s="300"/>
      <c r="CZ29" s="300"/>
      <c r="DA29" s="300"/>
      <c r="DB29" s="300"/>
      <c r="DC29" s="300"/>
      <c r="DD29" s="300"/>
      <c r="DE29" s="300"/>
    </row>
    <row r="30" spans="1:109" s="9" customFormat="1" ht="13.15" x14ac:dyDescent="0.45">
      <c r="A30" s="103"/>
      <c r="B30" s="346" t="s">
        <v>345</v>
      </c>
      <c r="C30" s="346"/>
      <c r="D30" s="346"/>
      <c r="E30" s="346"/>
      <c r="F30" s="346"/>
      <c r="G30" s="346"/>
      <c r="H30" s="346"/>
      <c r="I30" s="112">
        <f>SUM(I24:I29)</f>
        <v>421033</v>
      </c>
      <c r="J30" s="112"/>
      <c r="K30" s="103"/>
      <c r="L30" s="292"/>
      <c r="M30" s="292"/>
      <c r="N30" s="292"/>
    </row>
    <row r="31" spans="1:109" s="14" customFormat="1" ht="14.25" customHeight="1" x14ac:dyDescent="0.45">
      <c r="A31" s="350" t="s">
        <v>297</v>
      </c>
      <c r="B31" s="351"/>
      <c r="C31" s="351"/>
      <c r="D31" s="351"/>
      <c r="E31" s="351"/>
      <c r="F31" s="351"/>
      <c r="G31" s="351"/>
      <c r="H31" s="351"/>
      <c r="I31" s="351"/>
      <c r="J31" s="351"/>
      <c r="K31" s="352"/>
      <c r="L31" s="279"/>
      <c r="M31" s="279"/>
      <c r="N31" s="279"/>
      <c r="O31" s="279"/>
      <c r="P31" s="279"/>
      <c r="Q31" s="279"/>
      <c r="R31" s="279"/>
      <c r="S31" s="279"/>
    </row>
    <row r="32" spans="1:109" s="136" customFormat="1" ht="14.1" customHeight="1" x14ac:dyDescent="0.45">
      <c r="A32" s="96">
        <v>1</v>
      </c>
      <c r="B32" s="96" t="s">
        <v>477</v>
      </c>
      <c r="C32" s="96" t="s">
        <v>478</v>
      </c>
      <c r="D32" s="96" t="s">
        <v>479</v>
      </c>
      <c r="E32" s="96" t="s">
        <v>480</v>
      </c>
      <c r="F32" s="97">
        <f>H32/10.764</f>
        <v>15750.000000000002</v>
      </c>
      <c r="G32" s="97">
        <f>I32/10.764</f>
        <v>10150.966183574879</v>
      </c>
      <c r="H32" s="97">
        <v>169533</v>
      </c>
      <c r="I32" s="97">
        <v>109265</v>
      </c>
      <c r="J32" s="145"/>
      <c r="K32" s="103" t="s">
        <v>34</v>
      </c>
      <c r="L32" s="284"/>
      <c r="M32" s="284"/>
      <c r="N32" s="284"/>
    </row>
    <row r="33" spans="1:109" s="9" customFormat="1" ht="14.1" customHeight="1" x14ac:dyDescent="0.45">
      <c r="A33" s="103"/>
      <c r="B33" s="346" t="s">
        <v>303</v>
      </c>
      <c r="C33" s="346"/>
      <c r="D33" s="346"/>
      <c r="E33" s="346"/>
      <c r="F33" s="346"/>
      <c r="G33" s="346"/>
      <c r="H33" s="346"/>
      <c r="I33" s="112">
        <f>SUM(I32:I32)</f>
        <v>109265</v>
      </c>
      <c r="J33" s="112"/>
      <c r="K33" s="103"/>
      <c r="L33" s="292"/>
      <c r="M33" s="292"/>
      <c r="N33" s="292"/>
      <c r="O33" s="292"/>
      <c r="P33" s="292"/>
      <c r="Q33" s="292"/>
      <c r="R33" s="292"/>
      <c r="S33" s="292"/>
    </row>
    <row r="34" spans="1:109" s="14" customFormat="1" ht="15.75" customHeight="1" x14ac:dyDescent="0.45">
      <c r="A34" s="350" t="s">
        <v>234</v>
      </c>
      <c r="B34" s="351"/>
      <c r="C34" s="351"/>
      <c r="D34" s="351"/>
      <c r="E34" s="351"/>
      <c r="F34" s="351"/>
      <c r="G34" s="351"/>
      <c r="H34" s="351"/>
      <c r="I34" s="351"/>
      <c r="J34" s="351"/>
      <c r="K34" s="352"/>
      <c r="L34" s="279"/>
      <c r="M34" s="279"/>
      <c r="N34" s="279"/>
      <c r="O34" s="279"/>
      <c r="P34" s="279"/>
      <c r="Q34" s="279"/>
      <c r="R34" s="279"/>
      <c r="S34" s="279"/>
    </row>
    <row r="35" spans="1:109" s="135" customFormat="1" ht="14.1" customHeight="1" x14ac:dyDescent="0.45">
      <c r="A35" s="96">
        <v>1</v>
      </c>
      <c r="B35" s="96" t="s">
        <v>235</v>
      </c>
      <c r="C35" s="96" t="s">
        <v>481</v>
      </c>
      <c r="D35" s="96" t="s">
        <v>482</v>
      </c>
      <c r="E35" s="96" t="s">
        <v>483</v>
      </c>
      <c r="F35" s="97">
        <v>12900</v>
      </c>
      <c r="G35" s="97">
        <v>12900</v>
      </c>
      <c r="H35" s="97">
        <f>G35*10.764</f>
        <v>138855.6</v>
      </c>
      <c r="I35" s="97">
        <f>H35*10.764</f>
        <v>1494641.6783999999</v>
      </c>
      <c r="J35" s="97"/>
      <c r="K35" s="103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6"/>
      <c r="CO35" s="136"/>
      <c r="CP35" s="136"/>
      <c r="CQ35" s="136"/>
      <c r="CR35" s="136"/>
      <c r="CS35" s="136"/>
      <c r="CT35" s="136"/>
      <c r="CU35" s="136"/>
      <c r="CV35" s="136"/>
      <c r="CW35" s="136"/>
      <c r="CX35" s="136"/>
      <c r="CY35" s="136"/>
      <c r="CZ35" s="136"/>
      <c r="DA35" s="136"/>
      <c r="DB35" s="136"/>
      <c r="DC35" s="136"/>
      <c r="DD35" s="136"/>
      <c r="DE35" s="136"/>
    </row>
    <row r="36" spans="1:109" s="135" customFormat="1" ht="14.1" customHeight="1" x14ac:dyDescent="0.45">
      <c r="A36" s="96">
        <v>2</v>
      </c>
      <c r="B36" s="96" t="s">
        <v>235</v>
      </c>
      <c r="C36" s="96" t="s">
        <v>484</v>
      </c>
      <c r="D36" s="96" t="s">
        <v>482</v>
      </c>
      <c r="E36" s="96" t="s">
        <v>483</v>
      </c>
      <c r="F36" s="97">
        <v>11900</v>
      </c>
      <c r="G36" s="97">
        <v>11900</v>
      </c>
      <c r="H36" s="97">
        <f>G36*10.764</f>
        <v>128091.59999999999</v>
      </c>
      <c r="I36" s="97">
        <f>H36*10.764</f>
        <v>1378777.9823999999</v>
      </c>
      <c r="J36" s="97"/>
      <c r="K36" s="103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36"/>
      <c r="BT36" s="136"/>
      <c r="BU36" s="136"/>
      <c r="BV36" s="136"/>
      <c r="BW36" s="136"/>
      <c r="BX36" s="136"/>
      <c r="BY36" s="136"/>
      <c r="BZ36" s="136"/>
      <c r="CA36" s="136"/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6"/>
      <c r="CO36" s="136"/>
      <c r="CP36" s="136"/>
      <c r="CQ36" s="136"/>
      <c r="CR36" s="136"/>
      <c r="CS36" s="136"/>
      <c r="CT36" s="136"/>
      <c r="CU36" s="136"/>
      <c r="CV36" s="136"/>
      <c r="CW36" s="136"/>
      <c r="CX36" s="136"/>
      <c r="CY36" s="136"/>
      <c r="CZ36" s="136"/>
      <c r="DA36" s="136"/>
      <c r="DB36" s="136"/>
      <c r="DC36" s="136"/>
      <c r="DD36" s="136"/>
      <c r="DE36" s="136"/>
    </row>
    <row r="37" spans="1:109" s="136" customFormat="1" ht="14.1" customHeight="1" x14ac:dyDescent="0.45">
      <c r="A37" s="96">
        <v>3</v>
      </c>
      <c r="B37" s="96" t="s">
        <v>235</v>
      </c>
      <c r="C37" s="96" t="s">
        <v>445</v>
      </c>
      <c r="D37" s="96" t="s">
        <v>485</v>
      </c>
      <c r="E37" s="96" t="s">
        <v>486</v>
      </c>
      <c r="F37" s="97">
        <f>H37/10.764</f>
        <v>10000</v>
      </c>
      <c r="G37" s="97">
        <f>I37/10.764</f>
        <v>5000</v>
      </c>
      <c r="H37" s="97">
        <v>107640</v>
      </c>
      <c r="I37" s="97">
        <v>53820</v>
      </c>
      <c r="J37" s="97"/>
      <c r="K37" s="103" t="s">
        <v>112</v>
      </c>
    </row>
    <row r="38" spans="1:109" s="137" customFormat="1" ht="14.1" customHeight="1" x14ac:dyDescent="0.45">
      <c r="A38" s="96">
        <v>4</v>
      </c>
      <c r="B38" s="96" t="s">
        <v>235</v>
      </c>
      <c r="C38" s="96" t="s">
        <v>487</v>
      </c>
      <c r="D38" s="96" t="s">
        <v>278</v>
      </c>
      <c r="E38" s="96" t="s">
        <v>488</v>
      </c>
      <c r="F38" s="97">
        <f>H38/10.764</f>
        <v>11807.506503158678</v>
      </c>
      <c r="G38" s="97">
        <f>I38/10.764</f>
        <v>11807.506503158678</v>
      </c>
      <c r="H38" s="97">
        <v>127096</v>
      </c>
      <c r="I38" s="97">
        <v>127096</v>
      </c>
      <c r="J38" s="97"/>
      <c r="K38" s="103" t="s">
        <v>112</v>
      </c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</row>
    <row r="39" spans="1:109" s="9" customFormat="1" ht="14.1" customHeight="1" x14ac:dyDescent="0.45">
      <c r="A39" s="103"/>
      <c r="B39" s="346" t="s">
        <v>489</v>
      </c>
      <c r="C39" s="346"/>
      <c r="D39" s="346"/>
      <c r="E39" s="346"/>
      <c r="F39" s="346"/>
      <c r="G39" s="346"/>
      <c r="H39" s="346"/>
      <c r="I39" s="112">
        <f>SUM(I35:I38)</f>
        <v>3054335.6607999997</v>
      </c>
      <c r="J39" s="112"/>
      <c r="K39" s="176"/>
      <c r="L39" s="292"/>
      <c r="M39" s="292"/>
    </row>
    <row r="40" spans="1:109" s="14" customFormat="1" ht="14.1" customHeight="1" x14ac:dyDescent="0.45">
      <c r="A40" s="350" t="s">
        <v>423</v>
      </c>
      <c r="B40" s="351"/>
      <c r="C40" s="351"/>
      <c r="D40" s="351"/>
      <c r="E40" s="351"/>
      <c r="F40" s="351"/>
      <c r="G40" s="351"/>
      <c r="H40" s="351"/>
      <c r="I40" s="351"/>
      <c r="J40" s="351"/>
      <c r="K40" s="352"/>
      <c r="L40" s="279"/>
      <c r="M40" s="279"/>
    </row>
    <row r="41" spans="1:109" s="9" customFormat="1" ht="14.1" customHeight="1" x14ac:dyDescent="0.45">
      <c r="A41" s="103">
        <v>1</v>
      </c>
      <c r="B41" s="96" t="s">
        <v>424</v>
      </c>
      <c r="C41" s="96"/>
      <c r="D41" s="96"/>
      <c r="E41" s="96"/>
      <c r="F41" s="97"/>
      <c r="G41" s="97"/>
      <c r="H41" s="97"/>
      <c r="I41" s="97"/>
      <c r="J41" s="97"/>
      <c r="K41" s="103"/>
      <c r="L41" s="292"/>
      <c r="M41" s="292"/>
    </row>
    <row r="42" spans="1:109" s="9" customFormat="1" ht="14.1" customHeight="1" x14ac:dyDescent="0.45">
      <c r="A42" s="103"/>
      <c r="B42" s="346" t="s">
        <v>425</v>
      </c>
      <c r="C42" s="346"/>
      <c r="D42" s="346"/>
      <c r="E42" s="346"/>
      <c r="F42" s="346"/>
      <c r="G42" s="346"/>
      <c r="H42" s="346"/>
      <c r="I42" s="112">
        <f>SUM(I41:I41)</f>
        <v>0</v>
      </c>
      <c r="J42" s="112"/>
      <c r="K42" s="103"/>
      <c r="L42" s="292"/>
      <c r="M42" s="292"/>
    </row>
    <row r="43" spans="1:109" s="14" customFormat="1" ht="14.25" customHeight="1" x14ac:dyDescent="0.45">
      <c r="A43" s="350" t="s">
        <v>291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2"/>
      <c r="L43" s="279"/>
      <c r="M43" s="279"/>
    </row>
    <row r="44" spans="1:109" s="9" customFormat="1" ht="13.15" x14ac:dyDescent="0.45">
      <c r="A44" s="103">
        <v>1</v>
      </c>
      <c r="B44" s="176" t="s">
        <v>292</v>
      </c>
      <c r="C44" s="176"/>
      <c r="D44" s="176"/>
      <c r="E44" s="176"/>
      <c r="F44" s="97"/>
      <c r="G44" s="97"/>
      <c r="H44" s="97"/>
      <c r="I44" s="97"/>
      <c r="J44" s="226"/>
      <c r="K44" s="103"/>
      <c r="L44" s="292"/>
      <c r="M44" s="292"/>
    </row>
    <row r="45" spans="1:109" s="9" customFormat="1" ht="13.15" x14ac:dyDescent="0.45">
      <c r="A45" s="103"/>
      <c r="B45" s="346" t="s">
        <v>296</v>
      </c>
      <c r="C45" s="346"/>
      <c r="D45" s="346"/>
      <c r="E45" s="346"/>
      <c r="F45" s="346"/>
      <c r="G45" s="346"/>
      <c r="H45" s="346"/>
      <c r="I45" s="112">
        <f>SUM(I44:I44)</f>
        <v>0</v>
      </c>
      <c r="J45" s="112"/>
      <c r="K45" s="103"/>
      <c r="L45" s="292"/>
      <c r="M45" s="292"/>
      <c r="N45" s="292"/>
      <c r="O45" s="292"/>
    </row>
    <row r="46" spans="1:109" s="14" customFormat="1" ht="14.1" customHeight="1" x14ac:dyDescent="0.45">
      <c r="A46" s="350" t="s">
        <v>346</v>
      </c>
      <c r="B46" s="351"/>
      <c r="C46" s="351"/>
      <c r="D46" s="351"/>
      <c r="E46" s="351"/>
      <c r="F46" s="351"/>
      <c r="G46" s="351"/>
      <c r="H46" s="351"/>
      <c r="I46" s="351"/>
      <c r="J46" s="351"/>
      <c r="K46" s="352"/>
      <c r="L46" s="301"/>
      <c r="M46" s="279"/>
      <c r="N46" s="279"/>
      <c r="O46" s="279"/>
      <c r="P46" s="279"/>
      <c r="Q46" s="279"/>
      <c r="R46" s="279"/>
      <c r="S46" s="279"/>
    </row>
    <row r="47" spans="1:109" s="136" customFormat="1" ht="14.1" customHeight="1" x14ac:dyDescent="0.45">
      <c r="A47" s="96">
        <v>1</v>
      </c>
      <c r="B47" s="96" t="s">
        <v>347</v>
      </c>
      <c r="C47" s="96" t="s">
        <v>490</v>
      </c>
      <c r="D47" s="96" t="s">
        <v>491</v>
      </c>
      <c r="E47" s="96" t="s">
        <v>492</v>
      </c>
      <c r="F47" s="97">
        <f>H47/10.764</f>
        <v>2906.3545150501673</v>
      </c>
      <c r="G47" s="97">
        <f>I47/10.764</f>
        <v>2906.3545150501673</v>
      </c>
      <c r="H47" s="97">
        <v>31284</v>
      </c>
      <c r="I47" s="97">
        <v>31284</v>
      </c>
      <c r="J47" s="227"/>
      <c r="K47" s="103" t="s">
        <v>34</v>
      </c>
      <c r="L47" s="302"/>
      <c r="M47" s="284"/>
      <c r="N47" s="284"/>
      <c r="O47" s="284"/>
      <c r="P47" s="284"/>
      <c r="Q47" s="284"/>
      <c r="R47" s="284"/>
      <c r="S47" s="284"/>
    </row>
    <row r="48" spans="1:109" s="136" customFormat="1" ht="14.1" customHeight="1" x14ac:dyDescent="0.45">
      <c r="A48" s="96">
        <v>2</v>
      </c>
      <c r="B48" s="96" t="s">
        <v>347</v>
      </c>
      <c r="C48" s="96" t="s">
        <v>493</v>
      </c>
      <c r="D48" s="96" t="s">
        <v>494</v>
      </c>
      <c r="E48" s="96" t="s">
        <v>197</v>
      </c>
      <c r="F48" s="97">
        <f>H48/10.764</f>
        <v>18713.768115942032</v>
      </c>
      <c r="G48" s="97">
        <f>I48/10.764</f>
        <v>18713.768115942032</v>
      </c>
      <c r="H48" s="97">
        <v>201435</v>
      </c>
      <c r="I48" s="97">
        <v>201435</v>
      </c>
      <c r="J48" s="227"/>
      <c r="K48" s="103" t="s">
        <v>34</v>
      </c>
      <c r="L48" s="302"/>
      <c r="M48" s="284"/>
      <c r="N48" s="284"/>
      <c r="O48" s="284"/>
      <c r="P48" s="284"/>
      <c r="Q48" s="284"/>
      <c r="R48" s="284"/>
      <c r="S48" s="284"/>
    </row>
    <row r="49" spans="1:109" s="9" customFormat="1" ht="14.1" customHeight="1" x14ac:dyDescent="0.45">
      <c r="A49" s="103"/>
      <c r="B49" s="346" t="s">
        <v>382</v>
      </c>
      <c r="C49" s="346"/>
      <c r="D49" s="346"/>
      <c r="E49" s="346"/>
      <c r="F49" s="346"/>
      <c r="G49" s="346"/>
      <c r="H49" s="346"/>
      <c r="I49" s="112">
        <f>SUM(I47:I48)</f>
        <v>232719</v>
      </c>
      <c r="J49" s="112"/>
      <c r="K49" s="103"/>
      <c r="L49" s="292"/>
      <c r="M49" s="292"/>
      <c r="N49" s="292"/>
      <c r="O49" s="292"/>
      <c r="P49" s="292"/>
      <c r="Q49" s="292"/>
      <c r="R49" s="292"/>
      <c r="S49" s="292"/>
    </row>
    <row r="50" spans="1:109" s="14" customFormat="1" ht="14.1" customHeight="1" x14ac:dyDescent="0.45">
      <c r="A50" s="354" t="s">
        <v>495</v>
      </c>
      <c r="B50" s="355"/>
      <c r="C50" s="355"/>
      <c r="D50" s="355"/>
      <c r="E50" s="355"/>
      <c r="F50" s="355"/>
      <c r="G50" s="355"/>
      <c r="H50" s="355"/>
      <c r="I50" s="355"/>
      <c r="J50" s="355"/>
      <c r="K50" s="356"/>
      <c r="L50" s="279"/>
      <c r="M50" s="279"/>
      <c r="N50" s="279"/>
      <c r="O50" s="279"/>
      <c r="P50" s="279"/>
      <c r="Q50" s="279"/>
      <c r="R50" s="279"/>
      <c r="S50" s="279"/>
    </row>
    <row r="51" spans="1:109" s="140" customFormat="1" ht="14.1" customHeight="1" x14ac:dyDescent="0.45">
      <c r="A51" s="96">
        <v>1</v>
      </c>
      <c r="B51" s="96" t="s">
        <v>387</v>
      </c>
      <c r="C51" s="96" t="s">
        <v>496</v>
      </c>
      <c r="D51" s="96" t="s">
        <v>497</v>
      </c>
      <c r="E51" s="96" t="s">
        <v>408</v>
      </c>
      <c r="F51" s="97">
        <f>H51/10.764</f>
        <v>16387.959866220735</v>
      </c>
      <c r="G51" s="97">
        <f>I51/10.764</f>
        <v>16387.959866220735</v>
      </c>
      <c r="H51" s="97">
        <v>176400</v>
      </c>
      <c r="I51" s="97">
        <v>176400</v>
      </c>
      <c r="J51" s="130"/>
      <c r="K51" s="103" t="s">
        <v>34</v>
      </c>
      <c r="L51" s="303"/>
      <c r="M51" s="303"/>
      <c r="N51" s="303"/>
      <c r="O51" s="303"/>
      <c r="P51" s="303"/>
      <c r="Q51" s="303"/>
      <c r="R51" s="303"/>
      <c r="S51" s="303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A51" s="139"/>
      <c r="DB51" s="139"/>
      <c r="DC51" s="139"/>
      <c r="DD51" s="139"/>
      <c r="DE51" s="139"/>
    </row>
    <row r="52" spans="1:109" s="140" customFormat="1" ht="14.1" customHeight="1" x14ac:dyDescent="0.45">
      <c r="A52" s="96">
        <v>2</v>
      </c>
      <c r="B52" s="96" t="s">
        <v>387</v>
      </c>
      <c r="C52" s="96" t="s">
        <v>498</v>
      </c>
      <c r="D52" s="96" t="s">
        <v>414</v>
      </c>
      <c r="E52" s="96" t="s">
        <v>177</v>
      </c>
      <c r="F52" s="97">
        <f>H52/10.764</f>
        <v>17858.695652173916</v>
      </c>
      <c r="G52" s="97">
        <f>I52/10.764</f>
        <v>17858.695652173916</v>
      </c>
      <c r="H52" s="97">
        <v>192231</v>
      </c>
      <c r="I52" s="97">
        <v>192231</v>
      </c>
      <c r="J52" s="130"/>
      <c r="K52" s="103" t="s">
        <v>34</v>
      </c>
      <c r="L52" s="303"/>
      <c r="M52" s="303"/>
      <c r="N52" s="303"/>
      <c r="O52" s="303"/>
      <c r="P52" s="303"/>
      <c r="Q52" s="303"/>
      <c r="R52" s="303"/>
      <c r="S52" s="303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  <c r="CQ52" s="139"/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  <c r="DD52" s="139"/>
      <c r="DE52" s="139"/>
    </row>
    <row r="53" spans="1:109" s="14" customFormat="1" ht="14.1" customHeight="1" x14ac:dyDescent="0.45">
      <c r="A53" s="103"/>
      <c r="B53" s="346" t="s">
        <v>422</v>
      </c>
      <c r="C53" s="346"/>
      <c r="D53" s="346"/>
      <c r="E53" s="346"/>
      <c r="F53" s="346"/>
      <c r="G53" s="346"/>
      <c r="H53" s="346"/>
      <c r="I53" s="112">
        <f>SUM(I51:I52)</f>
        <v>368631</v>
      </c>
      <c r="J53" s="112"/>
      <c r="K53" s="103"/>
      <c r="L53" s="279"/>
      <c r="M53" s="279"/>
      <c r="N53" s="279"/>
      <c r="O53" s="279"/>
      <c r="P53" s="279"/>
      <c r="Q53" s="279"/>
      <c r="R53" s="279"/>
      <c r="S53" s="279"/>
    </row>
    <row r="54" spans="1:109" s="9" customFormat="1" ht="14.25" customHeight="1" x14ac:dyDescent="0.45">
      <c r="A54" s="354" t="s">
        <v>383</v>
      </c>
      <c r="B54" s="355"/>
      <c r="C54" s="355"/>
      <c r="D54" s="355"/>
      <c r="E54" s="355"/>
      <c r="F54" s="355"/>
      <c r="G54" s="355"/>
      <c r="H54" s="355"/>
      <c r="I54" s="355"/>
      <c r="J54" s="355"/>
      <c r="K54" s="356"/>
      <c r="L54" s="8"/>
      <c r="M54" s="8"/>
      <c r="N54" s="8"/>
      <c r="O54" s="8"/>
      <c r="P54" s="292"/>
      <c r="Q54" s="292"/>
      <c r="R54" s="292"/>
      <c r="S54" s="292"/>
    </row>
    <row r="55" spans="1:109" s="9" customFormat="1" ht="14.1" customHeight="1" x14ac:dyDescent="0.45">
      <c r="A55" s="103">
        <v>1</v>
      </c>
      <c r="B55" s="141" t="s">
        <v>384</v>
      </c>
      <c r="C55" s="203"/>
      <c r="D55" s="203"/>
      <c r="E55" s="203"/>
      <c r="F55" s="97"/>
      <c r="G55" s="97"/>
      <c r="H55" s="97"/>
      <c r="I55" s="97"/>
      <c r="J55" s="97"/>
      <c r="K55" s="103"/>
      <c r="L55" s="304"/>
      <c r="M55" s="292"/>
      <c r="N55" s="292"/>
      <c r="O55" s="292"/>
      <c r="P55" s="292"/>
      <c r="Q55" s="292"/>
      <c r="R55" s="292"/>
      <c r="S55" s="292"/>
    </row>
    <row r="56" spans="1:109" s="14" customFormat="1" ht="14.1" customHeight="1" x14ac:dyDescent="0.45">
      <c r="A56" s="103"/>
      <c r="B56" s="346" t="s">
        <v>499</v>
      </c>
      <c r="C56" s="346"/>
      <c r="D56" s="346"/>
      <c r="E56" s="346"/>
      <c r="F56" s="346"/>
      <c r="G56" s="346"/>
      <c r="H56" s="346"/>
      <c r="I56" s="112">
        <f>SUM(I55:I55)</f>
        <v>0</v>
      </c>
      <c r="J56" s="112"/>
      <c r="K56" s="103"/>
      <c r="L56" s="301"/>
      <c r="M56" s="279"/>
      <c r="N56" s="279"/>
      <c r="O56" s="279"/>
      <c r="P56" s="279"/>
      <c r="Q56" s="279"/>
      <c r="R56" s="279"/>
      <c r="S56" s="279"/>
    </row>
    <row r="57" spans="1:109" ht="14.25" x14ac:dyDescent="0.45">
      <c r="A57" s="306"/>
      <c r="B57" s="353" t="s">
        <v>426</v>
      </c>
      <c r="C57" s="353"/>
      <c r="D57" s="353"/>
      <c r="E57" s="353"/>
      <c r="F57" s="353"/>
      <c r="G57" s="353"/>
      <c r="H57" s="353"/>
      <c r="I57" s="307">
        <f>I22+I30+I33+I39+I42+I45+I49+I53+I56</f>
        <v>5453348.0208000001</v>
      </c>
      <c r="J57" s="307"/>
      <c r="K57" s="305"/>
    </row>
    <row r="60" spans="1:109" ht="14.25" x14ac:dyDescent="0.45">
      <c r="F60" s="20"/>
    </row>
  </sheetData>
  <autoFilter ref="A4:K57" xr:uid="{DFB0C4B3-5270-44E0-AB2A-4AB85ABC7801}"/>
  <mergeCells count="21">
    <mergeCell ref="A31:K31"/>
    <mergeCell ref="A34:K34"/>
    <mergeCell ref="A40:K40"/>
    <mergeCell ref="A43:K43"/>
    <mergeCell ref="A46:K46"/>
    <mergeCell ref="B30:H30"/>
    <mergeCell ref="A1:K1"/>
    <mergeCell ref="A2:K2"/>
    <mergeCell ref="B22:H22"/>
    <mergeCell ref="B5:K5"/>
    <mergeCell ref="B23:K23"/>
    <mergeCell ref="B53:H53"/>
    <mergeCell ref="B56:H56"/>
    <mergeCell ref="B57:H57"/>
    <mergeCell ref="B33:H33"/>
    <mergeCell ref="B39:H39"/>
    <mergeCell ref="B42:H42"/>
    <mergeCell ref="B45:H45"/>
    <mergeCell ref="B49:H49"/>
    <mergeCell ref="A50:K50"/>
    <mergeCell ref="A54:K54"/>
  </mergeCells>
  <pageMargins left="0.70866141732283472" right="0.70866141732283472" top="0.74803149606299213" bottom="0.74803149606299213" header="0.31496062992125984" footer="0.31496062992125984"/>
  <pageSetup paperSize="17" scale="8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B1F1-AB2D-4BAF-A100-22805A4BEB38}">
  <sheetPr codeName="Hoja3"/>
  <dimension ref="A1:BR240"/>
  <sheetViews>
    <sheetView topLeftCell="A13" zoomScale="70" zoomScaleNormal="70" workbookViewId="0">
      <selection activeCell="G52" sqref="G52"/>
    </sheetView>
  </sheetViews>
  <sheetFormatPr baseColWidth="10" defaultColWidth="11.3984375" defaultRowHeight="15" customHeight="1" x14ac:dyDescent="0.45"/>
  <cols>
    <col min="1" max="1" width="2.73046875" customWidth="1"/>
    <col min="2" max="2" width="17.86328125" style="14" bestFit="1" customWidth="1"/>
    <col min="3" max="3" width="9" style="14" bestFit="1" customWidth="1"/>
    <col min="4" max="4" width="20.3984375" customWidth="1"/>
    <col min="5" max="5" width="38.73046875" customWidth="1"/>
    <col min="6" max="6" width="24.59765625" style="84" customWidth="1"/>
    <col min="7" max="7" width="17" customWidth="1"/>
    <col min="8" max="13" width="13.73046875" customWidth="1"/>
    <col min="14" max="14" width="28.1328125" bestFit="1" customWidth="1"/>
    <col min="15" max="15" width="12.59765625" customWidth="1"/>
  </cols>
  <sheetData>
    <row r="1" spans="1:70" s="14" customFormat="1" ht="21.75" x14ac:dyDescent="0.45">
      <c r="A1" s="21"/>
      <c r="B1" s="361" t="s">
        <v>0</v>
      </c>
      <c r="C1" s="361"/>
      <c r="D1" s="361"/>
      <c r="E1" s="361"/>
      <c r="F1" s="361"/>
      <c r="G1" s="361"/>
      <c r="H1" s="361"/>
      <c r="I1" s="361"/>
      <c r="J1" s="362"/>
      <c r="K1" s="362"/>
      <c r="L1" s="362"/>
      <c r="M1" s="362"/>
      <c r="N1" s="361"/>
      <c r="O1" s="361"/>
    </row>
    <row r="2" spans="1:70" s="14" customFormat="1" ht="14.65" x14ac:dyDescent="0.45">
      <c r="A2" s="15"/>
      <c r="B2" s="345" t="s">
        <v>500</v>
      </c>
      <c r="C2" s="345"/>
      <c r="D2" s="345"/>
      <c r="E2" s="345"/>
      <c r="F2" s="345"/>
      <c r="G2" s="345"/>
      <c r="H2" s="345"/>
      <c r="I2" s="345"/>
      <c r="J2" s="363"/>
      <c r="K2" s="363"/>
      <c r="L2" s="363"/>
      <c r="M2" s="363"/>
      <c r="N2" s="345"/>
      <c r="O2" s="345"/>
    </row>
    <row r="3" spans="1:70" s="15" customFormat="1" ht="15" customHeight="1" x14ac:dyDescent="0.45">
      <c r="B3" s="21"/>
      <c r="C3" s="21"/>
      <c r="F3" s="110"/>
      <c r="J3" s="21"/>
      <c r="K3" s="21"/>
      <c r="L3" s="21"/>
      <c r="M3" s="21"/>
    </row>
    <row r="4" spans="1:70" s="125" customFormat="1" ht="15.75" x14ac:dyDescent="0.45">
      <c r="A4" s="251"/>
      <c r="B4" s="222" t="s">
        <v>2</v>
      </c>
      <c r="C4" s="222" t="s">
        <v>20</v>
      </c>
      <c r="D4" s="221" t="s">
        <v>428</v>
      </c>
      <c r="E4" s="221" t="s">
        <v>429</v>
      </c>
      <c r="F4" s="221" t="s">
        <v>5</v>
      </c>
      <c r="G4" s="221" t="s">
        <v>7</v>
      </c>
      <c r="H4" s="221" t="s">
        <v>8</v>
      </c>
      <c r="I4" s="221" t="s">
        <v>501</v>
      </c>
      <c r="J4" s="221" t="s">
        <v>502</v>
      </c>
      <c r="K4" s="221" t="s">
        <v>503</v>
      </c>
      <c r="L4" s="221" t="s">
        <v>504</v>
      </c>
      <c r="M4" s="221" t="s">
        <v>505</v>
      </c>
      <c r="N4" s="121" t="s">
        <v>16</v>
      </c>
      <c r="O4" s="121" t="s">
        <v>501</v>
      </c>
    </row>
    <row r="5" spans="1:70" s="14" customFormat="1" ht="18" customHeight="1" x14ac:dyDescent="0.45">
      <c r="A5" s="223"/>
      <c r="B5" s="359" t="s">
        <v>21</v>
      </c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</row>
    <row r="6" spans="1:70" s="144" customFormat="1" ht="13.15" x14ac:dyDescent="0.35">
      <c r="A6" s="141">
        <v>1</v>
      </c>
      <c r="B6" s="141" t="s">
        <v>22</v>
      </c>
      <c r="C6" s="203" t="s">
        <v>112</v>
      </c>
      <c r="D6" s="142" t="s">
        <v>506</v>
      </c>
      <c r="E6" s="142" t="s">
        <v>507</v>
      </c>
      <c r="F6" s="141" t="s">
        <v>508</v>
      </c>
      <c r="G6" s="189">
        <f t="shared" ref="G6" si="0">I6/10.764</f>
        <v>58348.383500557415</v>
      </c>
      <c r="H6" s="189">
        <f>G6*10.764</f>
        <v>628062</v>
      </c>
      <c r="I6" s="189">
        <v>628062</v>
      </c>
      <c r="J6" s="189"/>
      <c r="K6" s="189"/>
      <c r="L6" s="191" t="s">
        <v>34</v>
      </c>
      <c r="M6" s="128"/>
      <c r="N6" s="129"/>
      <c r="O6" s="191" t="s">
        <v>509</v>
      </c>
      <c r="P6" s="143"/>
    </row>
    <row r="7" spans="1:70" s="136" customFormat="1" ht="13.15" x14ac:dyDescent="0.45">
      <c r="A7" s="96">
        <v>2</v>
      </c>
      <c r="B7" s="96" t="s">
        <v>22</v>
      </c>
      <c r="C7" s="176" t="s">
        <v>34</v>
      </c>
      <c r="D7" s="96" t="s">
        <v>510</v>
      </c>
      <c r="E7" s="96" t="s">
        <v>511</v>
      </c>
      <c r="F7" s="96" t="s">
        <v>37</v>
      </c>
      <c r="G7" s="97">
        <f t="shared" ref="G7:G12" si="1">H7/10.764</f>
        <v>7721.3861018208845</v>
      </c>
      <c r="H7" s="97">
        <v>83113</v>
      </c>
      <c r="I7" s="97">
        <v>83113</v>
      </c>
      <c r="J7" s="97" t="s">
        <v>465</v>
      </c>
      <c r="K7" s="97">
        <v>6</v>
      </c>
      <c r="L7" s="97">
        <v>2</v>
      </c>
      <c r="M7" s="97" t="s">
        <v>512</v>
      </c>
      <c r="N7" s="104"/>
      <c r="O7" s="105" t="s">
        <v>513</v>
      </c>
    </row>
    <row r="8" spans="1:70" s="136" customFormat="1" ht="13.15" x14ac:dyDescent="0.45">
      <c r="A8" s="107">
        <v>3</v>
      </c>
      <c r="B8" s="107" t="s">
        <v>22</v>
      </c>
      <c r="C8" s="218" t="s">
        <v>34</v>
      </c>
      <c r="D8" s="107" t="s">
        <v>514</v>
      </c>
      <c r="E8" s="107" t="s">
        <v>36</v>
      </c>
      <c r="F8" s="107" t="s">
        <v>37</v>
      </c>
      <c r="G8" s="106">
        <f>H8/10.764</f>
        <v>24704.384986993686</v>
      </c>
      <c r="H8" s="106">
        <v>265918</v>
      </c>
      <c r="I8" s="106">
        <v>265918</v>
      </c>
      <c r="J8" s="106" t="s">
        <v>465</v>
      </c>
      <c r="K8" s="106">
        <v>18</v>
      </c>
      <c r="L8" s="106">
        <v>3</v>
      </c>
      <c r="M8" s="106" t="s">
        <v>512</v>
      </c>
      <c r="N8" s="275"/>
      <c r="O8" s="276" t="s">
        <v>513</v>
      </c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</row>
    <row r="9" spans="1:70" s="136" customFormat="1" ht="13.15" x14ac:dyDescent="0.45">
      <c r="A9" s="107">
        <v>4</v>
      </c>
      <c r="B9" s="107" t="s">
        <v>22</v>
      </c>
      <c r="C9" s="218" t="s">
        <v>34</v>
      </c>
      <c r="D9" s="107" t="s">
        <v>515</v>
      </c>
      <c r="E9" s="107" t="s">
        <v>36</v>
      </c>
      <c r="F9" s="107" t="s">
        <v>37</v>
      </c>
      <c r="G9" s="106">
        <f>H9/10.764</f>
        <v>6497.6774433296177</v>
      </c>
      <c r="H9" s="106">
        <v>69941</v>
      </c>
      <c r="I9" s="106">
        <v>69941</v>
      </c>
      <c r="J9" s="106" t="s">
        <v>465</v>
      </c>
      <c r="K9" s="106">
        <v>5</v>
      </c>
      <c r="L9" s="106">
        <v>1</v>
      </c>
      <c r="M9" s="106" t="s">
        <v>512</v>
      </c>
      <c r="N9" s="275"/>
      <c r="O9" s="276" t="s">
        <v>516</v>
      </c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</row>
    <row r="10" spans="1:70" s="146" customFormat="1" ht="13.15" x14ac:dyDescent="0.45">
      <c r="A10" s="96">
        <v>5</v>
      </c>
      <c r="B10" s="96" t="s">
        <v>22</v>
      </c>
      <c r="C10" s="176" t="s">
        <v>34</v>
      </c>
      <c r="D10" s="96" t="s">
        <v>517</v>
      </c>
      <c r="E10" s="96" t="s">
        <v>518</v>
      </c>
      <c r="F10" s="96" t="s">
        <v>519</v>
      </c>
      <c r="G10" s="97">
        <f>H10/10.764</f>
        <v>14240.802675585284</v>
      </c>
      <c r="H10" s="97">
        <v>153288</v>
      </c>
      <c r="I10" s="97">
        <v>153288</v>
      </c>
      <c r="J10" s="97" t="s">
        <v>465</v>
      </c>
      <c r="K10" s="97">
        <v>6</v>
      </c>
      <c r="L10" s="97">
        <v>2</v>
      </c>
      <c r="M10" s="97" t="s">
        <v>512</v>
      </c>
      <c r="N10" s="130"/>
      <c r="O10" s="97" t="s">
        <v>513</v>
      </c>
    </row>
    <row r="11" spans="1:70" s="136" customFormat="1" ht="13.15" x14ac:dyDescent="0.45">
      <c r="A11" s="96">
        <v>6</v>
      </c>
      <c r="B11" s="96" t="s">
        <v>22</v>
      </c>
      <c r="C11" s="176" t="s">
        <v>34</v>
      </c>
      <c r="D11" s="96" t="s">
        <v>520</v>
      </c>
      <c r="E11" s="96" t="s">
        <v>114</v>
      </c>
      <c r="F11" s="96" t="s">
        <v>521</v>
      </c>
      <c r="G11" s="97">
        <f t="shared" si="1"/>
        <v>13959.680416202156</v>
      </c>
      <c r="H11" s="97">
        <v>150262</v>
      </c>
      <c r="I11" s="97">
        <v>74893</v>
      </c>
      <c r="J11" s="97" t="s">
        <v>465</v>
      </c>
      <c r="K11" s="97">
        <v>6</v>
      </c>
      <c r="L11" s="97">
        <v>2</v>
      </c>
      <c r="M11" s="97" t="s">
        <v>512</v>
      </c>
      <c r="N11" s="104"/>
      <c r="O11" s="105" t="s">
        <v>509</v>
      </c>
    </row>
    <row r="12" spans="1:70" s="136" customFormat="1" ht="13.15" x14ac:dyDescent="0.45">
      <c r="A12" s="96">
        <v>7</v>
      </c>
      <c r="B12" s="96" t="s">
        <v>22</v>
      </c>
      <c r="C12" s="176" t="s">
        <v>34</v>
      </c>
      <c r="D12" s="96" t="s">
        <v>522</v>
      </c>
      <c r="E12" s="96" t="s">
        <v>114</v>
      </c>
      <c r="F12" s="96" t="s">
        <v>521</v>
      </c>
      <c r="G12" s="97">
        <f t="shared" si="1"/>
        <v>13959.680416202156</v>
      </c>
      <c r="H12" s="97">
        <v>150262</v>
      </c>
      <c r="I12" s="97">
        <v>74893</v>
      </c>
      <c r="J12" s="97" t="s">
        <v>465</v>
      </c>
      <c r="K12" s="97">
        <v>3</v>
      </c>
      <c r="L12" s="97">
        <v>2</v>
      </c>
      <c r="M12" s="97" t="s">
        <v>512</v>
      </c>
      <c r="N12" s="104"/>
      <c r="O12" s="105" t="s">
        <v>509</v>
      </c>
    </row>
    <row r="13" spans="1:70" s="146" customFormat="1" ht="13.15" x14ac:dyDescent="0.45">
      <c r="A13" s="96">
        <v>8</v>
      </c>
      <c r="B13" s="96" t="s">
        <v>22</v>
      </c>
      <c r="C13" s="176" t="s">
        <v>34</v>
      </c>
      <c r="D13" s="96" t="s">
        <v>523</v>
      </c>
      <c r="E13" s="96" t="s">
        <v>524</v>
      </c>
      <c r="F13" s="96" t="s">
        <v>525</v>
      </c>
      <c r="G13" s="97">
        <f t="shared" ref="G13" si="2">H13/10.764</f>
        <v>18550.817539947977</v>
      </c>
      <c r="H13" s="97">
        <v>199681</v>
      </c>
      <c r="I13" s="97">
        <v>199681</v>
      </c>
      <c r="J13" s="97" t="s">
        <v>526</v>
      </c>
      <c r="K13" s="97">
        <v>14</v>
      </c>
      <c r="L13" s="97">
        <v>2</v>
      </c>
      <c r="M13" s="97" t="s">
        <v>527</v>
      </c>
      <c r="N13" s="130"/>
      <c r="O13" s="97" t="s">
        <v>513</v>
      </c>
    </row>
    <row r="14" spans="1:70" s="146" customFormat="1" ht="13.15" x14ac:dyDescent="0.45">
      <c r="A14" s="96">
        <v>9</v>
      </c>
      <c r="B14" s="96" t="s">
        <v>22</v>
      </c>
      <c r="C14" s="176" t="s">
        <v>34</v>
      </c>
      <c r="D14" s="96" t="s">
        <v>528</v>
      </c>
      <c r="E14" s="96" t="s">
        <v>529</v>
      </c>
      <c r="F14" s="96" t="s">
        <v>91</v>
      </c>
      <c r="G14" s="97">
        <f t="shared" ref="G14:G16" si="3">H14/10.764</f>
        <v>13285.024154589373</v>
      </c>
      <c r="H14" s="97">
        <v>143000</v>
      </c>
      <c r="I14" s="97">
        <v>143000</v>
      </c>
      <c r="J14" s="97" t="s">
        <v>530</v>
      </c>
      <c r="K14" s="97">
        <v>6</v>
      </c>
      <c r="L14" s="97">
        <v>2</v>
      </c>
      <c r="M14" s="97" t="s">
        <v>512</v>
      </c>
      <c r="N14" s="103" t="s">
        <v>531</v>
      </c>
      <c r="O14" s="97" t="s">
        <v>516</v>
      </c>
      <c r="P14" s="147"/>
      <c r="Q14" s="147"/>
      <c r="R14" s="147"/>
    </row>
    <row r="15" spans="1:70" s="146" customFormat="1" ht="13.15" x14ac:dyDescent="0.45">
      <c r="A15" s="96">
        <v>10</v>
      </c>
      <c r="B15" s="96" t="s">
        <v>22</v>
      </c>
      <c r="C15" s="176" t="s">
        <v>34</v>
      </c>
      <c r="D15" s="96" t="s">
        <v>532</v>
      </c>
      <c r="E15" s="96" t="s">
        <v>529</v>
      </c>
      <c r="F15" s="96" t="s">
        <v>91</v>
      </c>
      <c r="G15" s="97">
        <f t="shared" si="3"/>
        <v>13285.024154589373</v>
      </c>
      <c r="H15" s="97">
        <v>143000</v>
      </c>
      <c r="I15" s="97">
        <v>143000</v>
      </c>
      <c r="J15" s="97"/>
      <c r="K15" s="97"/>
      <c r="L15" s="97"/>
      <c r="M15" s="97"/>
      <c r="N15" s="252"/>
      <c r="O15" s="97" t="s">
        <v>513</v>
      </c>
      <c r="P15" s="147"/>
      <c r="Q15" s="147"/>
      <c r="R15" s="147"/>
    </row>
    <row r="16" spans="1:70" s="136" customFormat="1" ht="13.15" x14ac:dyDescent="0.45">
      <c r="A16" s="96">
        <v>11</v>
      </c>
      <c r="B16" s="96" t="s">
        <v>22</v>
      </c>
      <c r="C16" s="176" t="s">
        <v>112</v>
      </c>
      <c r="D16" s="96" t="s">
        <v>533</v>
      </c>
      <c r="E16" s="96" t="s">
        <v>534</v>
      </c>
      <c r="F16" s="96" t="s">
        <v>325</v>
      </c>
      <c r="G16" s="97">
        <f t="shared" si="3"/>
        <v>3376.9973987365292</v>
      </c>
      <c r="H16" s="97">
        <v>36350</v>
      </c>
      <c r="I16" s="97">
        <v>36350</v>
      </c>
      <c r="J16" s="97" t="s">
        <v>465</v>
      </c>
      <c r="K16" s="97">
        <v>2</v>
      </c>
      <c r="L16" s="97">
        <v>2</v>
      </c>
      <c r="M16" s="97" t="s">
        <v>512</v>
      </c>
      <c r="N16" s="104"/>
      <c r="O16" s="105" t="s">
        <v>516</v>
      </c>
    </row>
    <row r="17" spans="1:18" s="136" customFormat="1" ht="13.15" x14ac:dyDescent="0.45">
      <c r="A17" s="96">
        <v>12</v>
      </c>
      <c r="B17" s="96" t="s">
        <v>22</v>
      </c>
      <c r="C17" s="176" t="s">
        <v>34</v>
      </c>
      <c r="D17" s="96" t="s">
        <v>535</v>
      </c>
      <c r="E17" s="96" t="s">
        <v>536</v>
      </c>
      <c r="F17" s="96" t="s">
        <v>408</v>
      </c>
      <c r="G17" s="97">
        <v>9600</v>
      </c>
      <c r="H17" s="97">
        <f>G17*10.764</f>
        <v>103334.39999999999</v>
      </c>
      <c r="I17" s="97">
        <f>H17</f>
        <v>103334.39999999999</v>
      </c>
      <c r="J17" s="97" t="s">
        <v>465</v>
      </c>
      <c r="K17" s="97">
        <v>12</v>
      </c>
      <c r="L17" s="97">
        <v>4</v>
      </c>
      <c r="M17" s="97" t="s">
        <v>512</v>
      </c>
      <c r="N17" s="104" t="s">
        <v>537</v>
      </c>
      <c r="O17" s="105" t="s">
        <v>509</v>
      </c>
    </row>
    <row r="18" spans="1:18" s="9" customFormat="1" ht="14.25" customHeight="1" x14ac:dyDescent="0.45">
      <c r="A18" s="103"/>
      <c r="B18" s="346" t="s">
        <v>233</v>
      </c>
      <c r="C18" s="346"/>
      <c r="D18" s="346"/>
      <c r="E18" s="346"/>
      <c r="F18" s="346"/>
      <c r="G18" s="112">
        <f>SUM(G6:G17)</f>
        <v>197529.85878855447</v>
      </c>
      <c r="H18" s="112">
        <f>SUM(H6:H17)</f>
        <v>2126211.4</v>
      </c>
      <c r="I18" s="112">
        <f>SUM(I6:I17)</f>
        <v>1975473.4</v>
      </c>
      <c r="J18" s="112"/>
      <c r="K18" s="112"/>
      <c r="L18" s="112"/>
      <c r="M18" s="112"/>
      <c r="N18" s="112"/>
      <c r="O18" s="103"/>
    </row>
    <row r="19" spans="1:18" s="14" customFormat="1" ht="18" customHeight="1" x14ac:dyDescent="0.45">
      <c r="A19" s="223"/>
      <c r="B19" s="359" t="s">
        <v>495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</row>
    <row r="20" spans="1:18" s="136" customFormat="1" ht="13.15" x14ac:dyDescent="0.35">
      <c r="A20" s="96">
        <v>1</v>
      </c>
      <c r="B20" s="96" t="s">
        <v>387</v>
      </c>
      <c r="C20" s="317" t="s">
        <v>34</v>
      </c>
      <c r="D20" s="149" t="s">
        <v>538</v>
      </c>
      <c r="E20" s="96" t="s">
        <v>539</v>
      </c>
      <c r="F20" s="149" t="s">
        <v>177</v>
      </c>
      <c r="G20" s="97">
        <f>H20/10.764</f>
        <v>15014.214046822743</v>
      </c>
      <c r="H20" s="253">
        <v>161613</v>
      </c>
      <c r="I20" s="253">
        <v>80000</v>
      </c>
      <c r="J20" s="254" t="s">
        <v>540</v>
      </c>
      <c r="K20" s="254">
        <v>12</v>
      </c>
      <c r="L20" s="254">
        <v>2</v>
      </c>
      <c r="M20" s="254" t="s">
        <v>512</v>
      </c>
      <c r="N20" s="112"/>
      <c r="O20" s="103" t="s">
        <v>516</v>
      </c>
      <c r="P20" s="23"/>
      <c r="Q20" s="23"/>
      <c r="R20" s="23"/>
    </row>
    <row r="21" spans="1:18" s="136" customFormat="1" ht="13.15" x14ac:dyDescent="0.45">
      <c r="A21" s="96">
        <v>2</v>
      </c>
      <c r="B21" s="96" t="s">
        <v>387</v>
      </c>
      <c r="C21" s="176" t="s">
        <v>34</v>
      </c>
      <c r="D21" s="96" t="s">
        <v>541</v>
      </c>
      <c r="E21" s="96" t="s">
        <v>539</v>
      </c>
      <c r="F21" s="96" t="s">
        <v>177</v>
      </c>
      <c r="G21" s="255">
        <f t="shared" ref="G21:G24" si="4">H21/10.764</f>
        <v>10126.347082868822</v>
      </c>
      <c r="H21" s="255">
        <v>109000</v>
      </c>
      <c r="I21" s="255">
        <v>109000</v>
      </c>
      <c r="J21" s="255"/>
      <c r="K21" s="255"/>
      <c r="L21" s="255"/>
      <c r="M21" s="255"/>
      <c r="N21" s="256"/>
      <c r="O21" s="103" t="s">
        <v>516</v>
      </c>
    </row>
    <row r="22" spans="1:18" s="136" customFormat="1" ht="13.15" x14ac:dyDescent="0.35">
      <c r="A22" s="96">
        <v>3</v>
      </c>
      <c r="B22" s="96" t="s">
        <v>387</v>
      </c>
      <c r="C22" s="317" t="s">
        <v>34</v>
      </c>
      <c r="D22" s="337" t="s">
        <v>542</v>
      </c>
      <c r="E22" s="337" t="s">
        <v>191</v>
      </c>
      <c r="F22" s="337" t="s">
        <v>192</v>
      </c>
      <c r="G22" s="97">
        <f>H22/10.764</f>
        <v>7033.9093273875887</v>
      </c>
      <c r="H22" s="253">
        <v>75713</v>
      </c>
      <c r="I22" s="253">
        <v>75713</v>
      </c>
      <c r="J22" s="254" t="s">
        <v>465</v>
      </c>
      <c r="K22" s="254">
        <v>3</v>
      </c>
      <c r="L22" s="254">
        <v>1</v>
      </c>
      <c r="M22" s="254" t="s">
        <v>512</v>
      </c>
      <c r="N22" s="112"/>
      <c r="O22" s="103" t="s">
        <v>516</v>
      </c>
      <c r="P22" s="23"/>
      <c r="Q22" s="23"/>
      <c r="R22" s="23"/>
    </row>
    <row r="23" spans="1:18" s="136" customFormat="1" ht="13.15" x14ac:dyDescent="0.45">
      <c r="A23" s="96">
        <v>4</v>
      </c>
      <c r="B23" s="96" t="s">
        <v>387</v>
      </c>
      <c r="C23" s="176" t="s">
        <v>34</v>
      </c>
      <c r="D23" s="96" t="s">
        <v>543</v>
      </c>
      <c r="E23" s="96" t="s">
        <v>544</v>
      </c>
      <c r="F23" s="96" t="s">
        <v>206</v>
      </c>
      <c r="G23" s="255">
        <f t="shared" si="4"/>
        <v>25604.793756967672</v>
      </c>
      <c r="H23" s="255">
        <v>275610</v>
      </c>
      <c r="I23" s="255">
        <v>275610</v>
      </c>
      <c r="J23" s="255"/>
      <c r="K23" s="255"/>
      <c r="L23" s="255"/>
      <c r="M23" s="255"/>
      <c r="N23" s="256"/>
      <c r="O23" s="105" t="s">
        <v>509</v>
      </c>
    </row>
    <row r="24" spans="1:18" s="136" customFormat="1" ht="13.15" x14ac:dyDescent="0.45">
      <c r="A24" s="96">
        <v>5</v>
      </c>
      <c r="B24" s="96" t="s">
        <v>387</v>
      </c>
      <c r="C24" s="176" t="s">
        <v>34</v>
      </c>
      <c r="D24" s="96" t="s">
        <v>545</v>
      </c>
      <c r="E24" s="96" t="s">
        <v>544</v>
      </c>
      <c r="F24" s="96" t="s">
        <v>206</v>
      </c>
      <c r="G24" s="255">
        <f t="shared" si="4"/>
        <v>11392.419175027871</v>
      </c>
      <c r="H24" s="255">
        <v>122628</v>
      </c>
      <c r="I24" s="255">
        <v>122628</v>
      </c>
      <c r="J24" s="255"/>
      <c r="K24" s="255"/>
      <c r="L24" s="255"/>
      <c r="M24" s="255"/>
      <c r="N24" s="256"/>
      <c r="O24" s="105" t="s">
        <v>509</v>
      </c>
    </row>
    <row r="25" spans="1:18" s="22" customFormat="1" ht="13.15" x14ac:dyDescent="0.45">
      <c r="A25" s="191"/>
      <c r="B25" s="346" t="s">
        <v>422</v>
      </c>
      <c r="C25" s="346"/>
      <c r="D25" s="346"/>
      <c r="E25" s="346"/>
      <c r="F25" s="346"/>
      <c r="G25" s="112">
        <f>SUM(G20:G24)</f>
        <v>69171.683389074693</v>
      </c>
      <c r="H25" s="112">
        <f>SUM(H20:H24)</f>
        <v>744564</v>
      </c>
      <c r="I25" s="112">
        <f>SUM(I20:I24)</f>
        <v>662951</v>
      </c>
      <c r="J25" s="112"/>
      <c r="K25" s="112"/>
      <c r="L25" s="112"/>
      <c r="M25" s="112"/>
      <c r="N25" s="112"/>
      <c r="O25" s="257"/>
    </row>
    <row r="26" spans="1:18" s="14" customFormat="1" ht="18" customHeight="1" x14ac:dyDescent="0.45">
      <c r="A26" s="223"/>
      <c r="B26" s="359" t="s">
        <v>423</v>
      </c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</row>
    <row r="27" spans="1:18" s="139" customFormat="1" ht="18" customHeight="1" x14ac:dyDescent="0.35">
      <c r="A27" s="258">
        <v>1</v>
      </c>
      <c r="B27" s="96" t="s">
        <v>424</v>
      </c>
      <c r="C27" s="318"/>
      <c r="D27" s="149"/>
      <c r="E27" s="96"/>
      <c r="F27" s="96"/>
      <c r="G27" s="97"/>
      <c r="H27" s="97"/>
      <c r="I27" s="97"/>
      <c r="J27" s="97"/>
      <c r="K27" s="97"/>
      <c r="L27" s="97"/>
      <c r="M27" s="97"/>
      <c r="N27" s="130"/>
      <c r="O27" s="97"/>
    </row>
    <row r="28" spans="1:18" s="9" customFormat="1" ht="13.15" customHeight="1" x14ac:dyDescent="0.45">
      <c r="A28" s="103"/>
      <c r="B28" s="346" t="s">
        <v>425</v>
      </c>
      <c r="C28" s="346"/>
      <c r="D28" s="346"/>
      <c r="E28" s="346"/>
      <c r="F28" s="346"/>
      <c r="G28" s="112">
        <f>SUM(G27:G27)</f>
        <v>0</v>
      </c>
      <c r="H28" s="112">
        <f>SUBTOTAL(9,H27:H27)</f>
        <v>0</v>
      </c>
      <c r="I28" s="112">
        <f>SUM(I27:I27)</f>
        <v>0</v>
      </c>
      <c r="J28" s="260"/>
      <c r="K28" s="260"/>
      <c r="L28" s="260"/>
      <c r="M28" s="260"/>
      <c r="N28" s="112"/>
      <c r="O28" s="103"/>
      <c r="P28" s="8"/>
      <c r="Q28" s="8"/>
      <c r="R28" s="8"/>
    </row>
    <row r="29" spans="1:18" s="14" customFormat="1" ht="18" customHeight="1" x14ac:dyDescent="0.45">
      <c r="A29" s="223"/>
      <c r="B29" s="359" t="s">
        <v>383</v>
      </c>
      <c r="C29" s="359"/>
      <c r="D29" s="359"/>
      <c r="E29" s="359"/>
      <c r="F29" s="359"/>
      <c r="G29" s="359"/>
      <c r="H29" s="359"/>
      <c r="I29" s="359"/>
      <c r="J29" s="360"/>
      <c r="K29" s="360"/>
      <c r="L29" s="360"/>
      <c r="M29" s="360"/>
      <c r="N29" s="359"/>
      <c r="O29" s="359"/>
      <c r="P29" s="98"/>
      <c r="Q29" s="98"/>
      <c r="R29" s="98"/>
    </row>
    <row r="30" spans="1:18" s="136" customFormat="1" ht="12.75" customHeight="1" x14ac:dyDescent="0.45">
      <c r="A30" s="96">
        <v>1</v>
      </c>
      <c r="B30" s="96" t="s">
        <v>384</v>
      </c>
      <c r="C30" s="176" t="s">
        <v>112</v>
      </c>
      <c r="D30" s="141" t="s">
        <v>546</v>
      </c>
      <c r="E30" s="141" t="s">
        <v>547</v>
      </c>
      <c r="F30" s="141" t="s">
        <v>206</v>
      </c>
      <c r="G30" s="189">
        <f>H30/10.764</f>
        <v>12165.923448532145</v>
      </c>
      <c r="H30" s="189">
        <v>130954</v>
      </c>
      <c r="I30" s="189">
        <v>130954</v>
      </c>
      <c r="J30" s="189"/>
      <c r="K30" s="189"/>
      <c r="L30" s="189"/>
      <c r="M30" s="189"/>
      <c r="N30" s="189"/>
      <c r="O30" s="191" t="s">
        <v>516</v>
      </c>
      <c r="P30" s="23"/>
      <c r="Q30" s="23"/>
      <c r="R30" s="23"/>
    </row>
    <row r="31" spans="1:18" s="9" customFormat="1" ht="13.15" x14ac:dyDescent="0.45">
      <c r="A31" s="103"/>
      <c r="B31" s="346" t="s">
        <v>499</v>
      </c>
      <c r="C31" s="346"/>
      <c r="D31" s="346"/>
      <c r="E31" s="346"/>
      <c r="F31" s="346"/>
      <c r="G31" s="112">
        <f>SUM(G30:G30)</f>
        <v>12165.923448532145</v>
      </c>
      <c r="H31" s="112">
        <f>SUM(H30:H30)</f>
        <v>130954</v>
      </c>
      <c r="I31" s="261">
        <f>SUM(I30)</f>
        <v>130954</v>
      </c>
      <c r="J31" s="260"/>
      <c r="K31" s="260"/>
      <c r="L31" s="260"/>
      <c r="M31" s="260"/>
      <c r="N31" s="112"/>
      <c r="O31" s="103"/>
      <c r="P31" s="8"/>
      <c r="Q31" s="8"/>
      <c r="R31" s="8"/>
    </row>
    <row r="32" spans="1:18" s="14" customFormat="1" ht="18" customHeight="1" x14ac:dyDescent="0.45">
      <c r="A32" s="223"/>
      <c r="B32" s="359" t="s">
        <v>291</v>
      </c>
      <c r="C32" s="359"/>
      <c r="D32" s="359"/>
      <c r="E32" s="359"/>
      <c r="F32" s="359"/>
      <c r="G32" s="359"/>
      <c r="H32" s="359"/>
      <c r="I32" s="359"/>
      <c r="J32" s="360"/>
      <c r="K32" s="360"/>
      <c r="L32" s="360"/>
      <c r="M32" s="360"/>
      <c r="N32" s="359"/>
      <c r="O32" s="359"/>
      <c r="P32" s="98"/>
      <c r="Q32" s="98"/>
      <c r="R32" s="98"/>
    </row>
    <row r="33" spans="1:18" s="9" customFormat="1" ht="13.15" x14ac:dyDescent="0.45">
      <c r="A33" s="103">
        <v>1</v>
      </c>
      <c r="B33" s="176" t="s">
        <v>292</v>
      </c>
      <c r="C33" s="176"/>
      <c r="D33" s="96"/>
      <c r="E33" s="96"/>
      <c r="F33" s="96"/>
      <c r="G33" s="97"/>
      <c r="H33" s="255"/>
      <c r="I33" s="255"/>
      <c r="J33" s="262"/>
      <c r="K33" s="262"/>
      <c r="L33" s="262"/>
      <c r="M33" s="262"/>
      <c r="N33" s="255"/>
      <c r="O33" s="263"/>
      <c r="P33" s="8"/>
      <c r="Q33" s="8"/>
      <c r="R33" s="8"/>
    </row>
    <row r="34" spans="1:18" s="9" customFormat="1" ht="13.15" x14ac:dyDescent="0.45">
      <c r="A34" s="103"/>
      <c r="B34" s="346" t="s">
        <v>296</v>
      </c>
      <c r="C34" s="346"/>
      <c r="D34" s="346"/>
      <c r="E34" s="346"/>
      <c r="F34" s="346"/>
      <c r="G34" s="112">
        <f>SUM(G33:G33)</f>
        <v>0</v>
      </c>
      <c r="H34" s="112">
        <f>SUM(H33:H33)</f>
        <v>0</v>
      </c>
      <c r="I34" s="112"/>
      <c r="J34" s="260"/>
      <c r="K34" s="260"/>
      <c r="L34" s="260"/>
      <c r="M34" s="260"/>
      <c r="N34" s="112"/>
      <c r="O34" s="257"/>
      <c r="P34" s="8"/>
      <c r="Q34" s="8"/>
      <c r="R34" s="8"/>
    </row>
    <row r="35" spans="1:18" s="14" customFormat="1" ht="18" customHeight="1" x14ac:dyDescent="0.45">
      <c r="A35" s="223"/>
      <c r="B35" s="359" t="s">
        <v>297</v>
      </c>
      <c r="C35" s="359"/>
      <c r="D35" s="359"/>
      <c r="E35" s="359"/>
      <c r="F35" s="359"/>
      <c r="G35" s="359"/>
      <c r="H35" s="359"/>
      <c r="I35" s="359"/>
      <c r="J35" s="360"/>
      <c r="K35" s="360"/>
      <c r="L35" s="360"/>
      <c r="M35" s="360"/>
      <c r="N35" s="359"/>
      <c r="O35" s="359"/>
      <c r="P35" s="98"/>
      <c r="Q35" s="98"/>
      <c r="R35" s="98"/>
    </row>
    <row r="36" spans="1:18" s="139" customFormat="1" ht="14.25" x14ac:dyDescent="0.45">
      <c r="A36" s="96">
        <v>1</v>
      </c>
      <c r="B36" s="96" t="s">
        <v>477</v>
      </c>
      <c r="C36" s="176" t="s">
        <v>34</v>
      </c>
      <c r="D36" s="96" t="s">
        <v>543</v>
      </c>
      <c r="E36" s="96" t="s">
        <v>548</v>
      </c>
      <c r="F36" s="96" t="s">
        <v>206</v>
      </c>
      <c r="G36" s="97">
        <f>H36/10.764</f>
        <v>15502.97287253809</v>
      </c>
      <c r="H36" s="97">
        <v>166874</v>
      </c>
      <c r="I36" s="97">
        <f>H36</f>
        <v>166874</v>
      </c>
      <c r="J36" s="97"/>
      <c r="K36" s="97"/>
      <c r="L36" s="97"/>
      <c r="M36" s="97"/>
      <c r="N36" s="264"/>
      <c r="O36" s="191" t="s">
        <v>516</v>
      </c>
      <c r="P36" s="150"/>
      <c r="Q36" s="150"/>
      <c r="R36" s="150"/>
    </row>
    <row r="37" spans="1:18" s="9" customFormat="1" ht="13.15" x14ac:dyDescent="0.45">
      <c r="A37" s="103"/>
      <c r="B37" s="346" t="s">
        <v>303</v>
      </c>
      <c r="C37" s="346"/>
      <c r="D37" s="346"/>
      <c r="E37" s="346"/>
      <c r="F37" s="346"/>
      <c r="G37" s="112">
        <f>SUM(G36:G36)</f>
        <v>15502.97287253809</v>
      </c>
      <c r="H37" s="112">
        <f>SUM(H36:H36)</f>
        <v>166874</v>
      </c>
      <c r="I37" s="112">
        <f>SUM(I36)</f>
        <v>166874</v>
      </c>
      <c r="J37" s="260"/>
      <c r="K37" s="260"/>
      <c r="L37" s="260"/>
      <c r="M37" s="260"/>
      <c r="N37" s="112"/>
      <c r="O37" s="257"/>
      <c r="P37" s="8"/>
      <c r="Q37" s="8"/>
      <c r="R37" s="8"/>
    </row>
    <row r="38" spans="1:18" s="14" customFormat="1" ht="18" customHeight="1" x14ac:dyDescent="0.45">
      <c r="A38" s="223"/>
      <c r="B38" s="359" t="s">
        <v>346</v>
      </c>
      <c r="C38" s="359"/>
      <c r="D38" s="359"/>
      <c r="E38" s="359"/>
      <c r="F38" s="359"/>
      <c r="G38" s="359"/>
      <c r="H38" s="359"/>
      <c r="I38" s="359"/>
      <c r="J38" s="360"/>
      <c r="K38" s="360"/>
      <c r="L38" s="360"/>
      <c r="M38" s="360"/>
      <c r="N38" s="359"/>
      <c r="O38" s="359"/>
      <c r="P38" s="98"/>
      <c r="Q38" s="98"/>
      <c r="R38" s="98"/>
    </row>
    <row r="39" spans="1:18" s="136" customFormat="1" ht="13.15" x14ac:dyDescent="0.35">
      <c r="A39" s="96">
        <v>1</v>
      </c>
      <c r="B39" s="96" t="s">
        <v>347</v>
      </c>
      <c r="C39" s="176" t="s">
        <v>34</v>
      </c>
      <c r="D39" s="96" t="s">
        <v>549</v>
      </c>
      <c r="E39" s="96" t="s">
        <v>356</v>
      </c>
      <c r="F39" s="145" t="s">
        <v>357</v>
      </c>
      <c r="G39" s="97">
        <f>H39/10.764</f>
        <v>9847.6402824228917</v>
      </c>
      <c r="H39" s="253">
        <v>106000</v>
      </c>
      <c r="I39" s="253">
        <v>106000</v>
      </c>
      <c r="J39" s="254" t="s">
        <v>465</v>
      </c>
      <c r="K39" s="254">
        <v>4</v>
      </c>
      <c r="L39" s="254">
        <v>1</v>
      </c>
      <c r="M39" s="254" t="s">
        <v>512</v>
      </c>
      <c r="N39" s="105"/>
      <c r="O39" s="191" t="s">
        <v>516</v>
      </c>
      <c r="P39" s="23"/>
      <c r="Q39" s="23"/>
      <c r="R39" s="23"/>
    </row>
    <row r="40" spans="1:18" s="136" customFormat="1" ht="13.15" x14ac:dyDescent="0.35">
      <c r="A40" s="96">
        <v>2</v>
      </c>
      <c r="B40" s="96" t="s">
        <v>347</v>
      </c>
      <c r="C40" s="176" t="s">
        <v>34</v>
      </c>
      <c r="D40" s="96" t="s">
        <v>550</v>
      </c>
      <c r="E40" s="96" t="s">
        <v>349</v>
      </c>
      <c r="F40" s="145" t="s">
        <v>350</v>
      </c>
      <c r="G40" s="97">
        <v>8450</v>
      </c>
      <c r="H40" s="253">
        <v>90955</v>
      </c>
      <c r="I40" s="253">
        <v>90955</v>
      </c>
      <c r="J40" s="254" t="s">
        <v>465</v>
      </c>
      <c r="K40" s="254">
        <v>6</v>
      </c>
      <c r="L40" s="254">
        <v>2</v>
      </c>
      <c r="M40" s="254" t="s">
        <v>512</v>
      </c>
      <c r="N40" s="105"/>
      <c r="O40" s="191" t="s">
        <v>551</v>
      </c>
      <c r="P40" s="23"/>
      <c r="Q40" s="23"/>
      <c r="R40" s="23"/>
    </row>
    <row r="41" spans="1:18" s="9" customFormat="1" ht="13.15" x14ac:dyDescent="0.45">
      <c r="A41" s="103"/>
      <c r="B41" s="346" t="s">
        <v>382</v>
      </c>
      <c r="C41" s="346"/>
      <c r="D41" s="346"/>
      <c r="E41" s="346"/>
      <c r="F41" s="346"/>
      <c r="G41" s="112">
        <f>SUM(G39:G40)</f>
        <v>18297.640282422894</v>
      </c>
      <c r="H41" s="112">
        <f>SUM(H39:H40)</f>
        <v>196955</v>
      </c>
      <c r="I41" s="112">
        <f>SUM(I39:I40)</f>
        <v>196955</v>
      </c>
      <c r="J41" s="260"/>
      <c r="K41" s="260"/>
      <c r="L41" s="260"/>
      <c r="M41" s="260"/>
      <c r="N41" s="112"/>
      <c r="O41" s="103"/>
      <c r="P41" s="8"/>
      <c r="Q41" s="8"/>
      <c r="R41" s="8"/>
    </row>
    <row r="42" spans="1:18" s="14" customFormat="1" ht="18" customHeight="1" x14ac:dyDescent="0.45">
      <c r="A42" s="223"/>
      <c r="B42" s="359" t="s">
        <v>235</v>
      </c>
      <c r="C42" s="359"/>
      <c r="D42" s="359"/>
      <c r="E42" s="359"/>
      <c r="F42" s="359"/>
      <c r="G42" s="359"/>
      <c r="H42" s="359"/>
      <c r="I42" s="359"/>
      <c r="J42" s="360"/>
      <c r="K42" s="360"/>
      <c r="L42" s="360"/>
      <c r="M42" s="360"/>
      <c r="N42" s="359"/>
      <c r="O42" s="359"/>
      <c r="P42" s="98"/>
      <c r="Q42" s="98"/>
      <c r="R42" s="98"/>
    </row>
    <row r="43" spans="1:18" s="152" customFormat="1" ht="15" customHeight="1" x14ac:dyDescent="0.4">
      <c r="A43" s="107">
        <v>1</v>
      </c>
      <c r="B43" s="96" t="s">
        <v>235</v>
      </c>
      <c r="C43" s="259" t="s">
        <v>34</v>
      </c>
      <c r="D43" s="145" t="s">
        <v>552</v>
      </c>
      <c r="E43" s="145" t="s">
        <v>553</v>
      </c>
      <c r="F43" s="145" t="s">
        <v>92</v>
      </c>
      <c r="G43" s="97">
        <f t="shared" ref="G43:G45" si="5">H43/10.764</f>
        <v>12774.061687105166</v>
      </c>
      <c r="H43" s="97">
        <v>137500</v>
      </c>
      <c r="I43" s="97">
        <v>137500</v>
      </c>
      <c r="J43" s="97" t="s">
        <v>540</v>
      </c>
      <c r="K43" s="97">
        <v>6</v>
      </c>
      <c r="L43" s="97">
        <v>2</v>
      </c>
      <c r="M43" s="97" t="s">
        <v>512</v>
      </c>
      <c r="N43" s="132"/>
      <c r="O43" s="126" t="s">
        <v>516</v>
      </c>
      <c r="P43" s="151"/>
      <c r="Q43" s="151"/>
      <c r="R43" s="151"/>
    </row>
    <row r="44" spans="1:18" s="152" customFormat="1" ht="15" customHeight="1" x14ac:dyDescent="0.4">
      <c r="A44" s="107">
        <v>2</v>
      </c>
      <c r="B44" s="96" t="s">
        <v>235</v>
      </c>
      <c r="C44" s="259" t="s">
        <v>112</v>
      </c>
      <c r="D44" s="145" t="s">
        <v>554</v>
      </c>
      <c r="E44" s="145" t="s">
        <v>555</v>
      </c>
      <c r="F44" s="145" t="s">
        <v>556</v>
      </c>
      <c r="G44" s="97">
        <f t="shared" si="5"/>
        <v>15000.000000000002</v>
      </c>
      <c r="H44" s="97">
        <v>161460</v>
      </c>
      <c r="I44" s="97">
        <v>161460</v>
      </c>
      <c r="J44" s="97" t="s">
        <v>557</v>
      </c>
      <c r="K44" s="97">
        <v>4</v>
      </c>
      <c r="L44" s="97">
        <v>2</v>
      </c>
      <c r="M44" s="97" t="s">
        <v>512</v>
      </c>
      <c r="N44" s="132"/>
      <c r="O44" s="126" t="s">
        <v>558</v>
      </c>
      <c r="P44" s="151"/>
      <c r="Q44" s="151"/>
      <c r="R44" s="151"/>
    </row>
    <row r="45" spans="1:18" s="152" customFormat="1" ht="15" customHeight="1" x14ac:dyDescent="0.4">
      <c r="A45" s="107">
        <v>3</v>
      </c>
      <c r="B45" s="96" t="s">
        <v>235</v>
      </c>
      <c r="C45" s="259" t="s">
        <v>112</v>
      </c>
      <c r="D45" s="145" t="s">
        <v>559</v>
      </c>
      <c r="E45" s="145" t="s">
        <v>555</v>
      </c>
      <c r="F45" s="145" t="s">
        <v>556</v>
      </c>
      <c r="G45" s="97">
        <f t="shared" si="5"/>
        <v>15000.000000000002</v>
      </c>
      <c r="H45" s="97">
        <v>161460</v>
      </c>
      <c r="I45" s="97">
        <v>161460</v>
      </c>
      <c r="J45" s="97" t="s">
        <v>557</v>
      </c>
      <c r="K45" s="97">
        <v>4</v>
      </c>
      <c r="L45" s="97">
        <v>2</v>
      </c>
      <c r="M45" s="97" t="s">
        <v>512</v>
      </c>
      <c r="N45" s="132"/>
      <c r="O45" s="126" t="s">
        <v>558</v>
      </c>
      <c r="P45" s="151"/>
      <c r="Q45" s="151"/>
      <c r="R45" s="151"/>
    </row>
    <row r="46" spans="1:18" s="152" customFormat="1" ht="15" customHeight="1" x14ac:dyDescent="0.4">
      <c r="A46" s="107">
        <v>4</v>
      </c>
      <c r="B46" s="96" t="s">
        <v>235</v>
      </c>
      <c r="C46" s="259" t="s">
        <v>34</v>
      </c>
      <c r="D46" s="145" t="s">
        <v>560</v>
      </c>
      <c r="E46" s="145" t="s">
        <v>561</v>
      </c>
      <c r="F46" s="145" t="s">
        <v>562</v>
      </c>
      <c r="G46" s="97">
        <f>H46/10.764</f>
        <v>21739.780750650316</v>
      </c>
      <c r="H46" s="97">
        <v>234007</v>
      </c>
      <c r="I46" s="97">
        <v>234007</v>
      </c>
      <c r="J46" s="97" t="s">
        <v>563</v>
      </c>
      <c r="K46" s="97">
        <v>12</v>
      </c>
      <c r="L46" s="97">
        <v>1</v>
      </c>
      <c r="M46" s="97" t="s">
        <v>512</v>
      </c>
      <c r="N46" s="132"/>
      <c r="O46" s="126" t="s">
        <v>516</v>
      </c>
      <c r="P46" s="151"/>
      <c r="Q46" s="151"/>
      <c r="R46" s="151"/>
    </row>
    <row r="47" spans="1:18" s="152" customFormat="1" ht="15" customHeight="1" x14ac:dyDescent="0.4">
      <c r="A47" s="107">
        <v>5</v>
      </c>
      <c r="B47" s="96" t="s">
        <v>235</v>
      </c>
      <c r="C47" s="259" t="s">
        <v>34</v>
      </c>
      <c r="D47" s="145" t="s">
        <v>564</v>
      </c>
      <c r="E47" s="145" t="s">
        <v>565</v>
      </c>
      <c r="F47" s="145" t="s">
        <v>325</v>
      </c>
      <c r="G47" s="97">
        <f t="shared" ref="G47" si="6">H47/10.764</f>
        <v>31168.524712002974</v>
      </c>
      <c r="H47" s="97">
        <v>335498</v>
      </c>
      <c r="I47" s="97">
        <v>335498</v>
      </c>
      <c r="J47" s="97" t="s">
        <v>566</v>
      </c>
      <c r="K47" s="97">
        <v>18</v>
      </c>
      <c r="L47" s="97">
        <v>6</v>
      </c>
      <c r="M47" s="97" t="s">
        <v>512</v>
      </c>
      <c r="N47" s="132"/>
      <c r="O47" s="132" t="s">
        <v>516</v>
      </c>
      <c r="P47" s="151"/>
      <c r="Q47" s="151"/>
      <c r="R47" s="151"/>
    </row>
    <row r="48" spans="1:18" s="139" customFormat="1" ht="14.25" x14ac:dyDescent="0.45">
      <c r="A48" s="96">
        <v>6</v>
      </c>
      <c r="B48" s="96" t="s">
        <v>235</v>
      </c>
      <c r="C48" s="176" t="s">
        <v>34</v>
      </c>
      <c r="D48" s="96" t="s">
        <v>567</v>
      </c>
      <c r="E48" s="96" t="s">
        <v>270</v>
      </c>
      <c r="F48" s="96" t="s">
        <v>568</v>
      </c>
      <c r="G48" s="97">
        <f>H48/10.764</f>
        <v>20424.098848011894</v>
      </c>
      <c r="H48" s="97">
        <v>219845</v>
      </c>
      <c r="I48" s="97">
        <v>219845</v>
      </c>
      <c r="J48" s="97"/>
      <c r="K48" s="97"/>
      <c r="L48" s="97"/>
      <c r="M48" s="97"/>
      <c r="N48" s="97"/>
      <c r="O48" s="105" t="s">
        <v>509</v>
      </c>
    </row>
    <row r="49" spans="1:70" s="154" customFormat="1" ht="14.1" customHeight="1" x14ac:dyDescent="0.35">
      <c r="A49" s="107">
        <v>7</v>
      </c>
      <c r="B49" s="107" t="s">
        <v>235</v>
      </c>
      <c r="C49" s="218" t="s">
        <v>34</v>
      </c>
      <c r="D49" s="107" t="s">
        <v>569</v>
      </c>
      <c r="E49" s="107" t="s">
        <v>570</v>
      </c>
      <c r="F49" s="153" t="s">
        <v>282</v>
      </c>
      <c r="G49" s="106">
        <v>25300</v>
      </c>
      <c r="H49" s="106">
        <f>G49*10.764</f>
        <v>272329.2</v>
      </c>
      <c r="I49" s="106">
        <f>H49</f>
        <v>272329.2</v>
      </c>
      <c r="J49" s="106"/>
      <c r="K49" s="106"/>
      <c r="L49" s="108"/>
      <c r="M49" s="108"/>
      <c r="N49" s="108"/>
      <c r="O49" s="105" t="s">
        <v>509</v>
      </c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55"/>
    </row>
    <row r="50" spans="1:70" s="101" customFormat="1" ht="15" customHeight="1" x14ac:dyDescent="0.4">
      <c r="A50" s="100"/>
      <c r="B50" s="346" t="s">
        <v>489</v>
      </c>
      <c r="C50" s="346"/>
      <c r="D50" s="346"/>
      <c r="E50" s="346"/>
      <c r="F50" s="346"/>
      <c r="G50" s="112">
        <f>SUM(G43:G49)</f>
        <v>141406.46599777037</v>
      </c>
      <c r="H50" s="112">
        <f>SUM(H43:H49)</f>
        <v>1522099.2</v>
      </c>
      <c r="I50" s="273">
        <f>SUM(I43:I49)</f>
        <v>1522099.2</v>
      </c>
      <c r="J50" s="100"/>
      <c r="K50" s="100"/>
      <c r="L50" s="100"/>
      <c r="M50" s="100"/>
      <c r="N50" s="100"/>
      <c r="O50" s="100"/>
      <c r="P50" s="131"/>
      <c r="Q50" s="131"/>
      <c r="R50" s="131"/>
    </row>
    <row r="51" spans="1:70" s="14" customFormat="1" ht="18" customHeight="1" x14ac:dyDescent="0.45">
      <c r="A51" s="223"/>
      <c r="B51" s="359" t="s">
        <v>304</v>
      </c>
      <c r="C51" s="359"/>
      <c r="D51" s="359"/>
      <c r="E51" s="359"/>
      <c r="F51" s="359"/>
      <c r="G51" s="359"/>
      <c r="H51" s="359"/>
      <c r="I51" s="359"/>
      <c r="J51" s="360"/>
      <c r="K51" s="360"/>
      <c r="L51" s="360"/>
      <c r="M51" s="360"/>
      <c r="N51" s="359"/>
      <c r="O51" s="359"/>
      <c r="P51" s="98"/>
      <c r="Q51" s="98"/>
      <c r="R51" s="98"/>
    </row>
    <row r="52" spans="1:70" s="146" customFormat="1" ht="13.15" x14ac:dyDescent="0.35">
      <c r="A52" s="96">
        <v>1</v>
      </c>
      <c r="B52" s="96" t="s">
        <v>298</v>
      </c>
      <c r="C52" s="176" t="s">
        <v>34</v>
      </c>
      <c r="D52" s="96" t="s">
        <v>571</v>
      </c>
      <c r="E52" s="96" t="s">
        <v>339</v>
      </c>
      <c r="F52" s="96" t="s">
        <v>177</v>
      </c>
      <c r="G52" s="97">
        <f t="shared" ref="G52" si="7">H52/10.764</f>
        <v>14823.29988851728</v>
      </c>
      <c r="H52" s="265">
        <v>159558</v>
      </c>
      <c r="I52" s="97">
        <v>159558</v>
      </c>
      <c r="J52" s="97" t="s">
        <v>540</v>
      </c>
      <c r="K52" s="97">
        <v>10</v>
      </c>
      <c r="L52" s="97">
        <v>2</v>
      </c>
      <c r="M52" s="97" t="s">
        <v>512</v>
      </c>
      <c r="N52" s="103"/>
      <c r="O52" s="127" t="s">
        <v>513</v>
      </c>
      <c r="P52" s="147"/>
      <c r="Q52" s="147"/>
      <c r="R52" s="147"/>
    </row>
    <row r="53" spans="1:70" s="146" customFormat="1" ht="13.15" x14ac:dyDescent="0.45">
      <c r="A53" s="96">
        <v>2</v>
      </c>
      <c r="B53" s="96" t="s">
        <v>298</v>
      </c>
      <c r="C53" s="176" t="s">
        <v>34</v>
      </c>
      <c r="D53" s="96" t="s">
        <v>572</v>
      </c>
      <c r="E53" s="96" t="s">
        <v>343</v>
      </c>
      <c r="F53" s="96" t="s">
        <v>207</v>
      </c>
      <c r="G53" s="97">
        <f>H53/10.764</f>
        <v>6659.420289855073</v>
      </c>
      <c r="H53" s="97">
        <v>71682</v>
      </c>
      <c r="I53" s="97">
        <v>71682</v>
      </c>
      <c r="J53" s="97" t="s">
        <v>540</v>
      </c>
      <c r="K53" s="97">
        <v>2</v>
      </c>
      <c r="L53" s="97">
        <v>1</v>
      </c>
      <c r="M53" s="97" t="s">
        <v>512</v>
      </c>
      <c r="N53" s="103"/>
      <c r="O53" s="127" t="s">
        <v>516</v>
      </c>
      <c r="P53" s="147"/>
      <c r="Q53" s="147"/>
      <c r="R53" s="147"/>
    </row>
    <row r="54" spans="1:70" s="9" customFormat="1" ht="13.15" x14ac:dyDescent="0.45">
      <c r="A54" s="103"/>
      <c r="B54" s="346" t="s">
        <v>345</v>
      </c>
      <c r="C54" s="346"/>
      <c r="D54" s="346"/>
      <c r="E54" s="346"/>
      <c r="F54" s="346"/>
      <c r="G54" s="112">
        <f>SUBTOTAL(9,G52:G53)</f>
        <v>21482.720178372354</v>
      </c>
      <c r="H54" s="112">
        <f>SUM(H52:H53)</f>
        <v>231240</v>
      </c>
      <c r="I54" s="112">
        <f>SUM(I52:I53)</f>
        <v>231240</v>
      </c>
      <c r="J54" s="260"/>
      <c r="K54" s="260"/>
      <c r="L54" s="260"/>
      <c r="M54" s="260"/>
      <c r="N54" s="112"/>
      <c r="O54" s="103"/>
      <c r="P54" s="8"/>
      <c r="Q54" s="8"/>
      <c r="R54" s="8"/>
    </row>
    <row r="55" spans="1:70" s="14" customFormat="1" ht="17.25" x14ac:dyDescent="0.45">
      <c r="A55" s="266"/>
      <c r="B55" s="267"/>
      <c r="C55" s="267"/>
      <c r="D55" s="268"/>
      <c r="E55" s="268"/>
      <c r="F55" s="269" t="s">
        <v>426</v>
      </c>
      <c r="G55" s="270">
        <f>G18+G25+G28+G31+G34+G37+G41+G50+G54</f>
        <v>475557.264957265</v>
      </c>
      <c r="H55" s="270">
        <f>H18+H25+H28+H31+H34+H37+H41+H50+H54</f>
        <v>5118897.5999999996</v>
      </c>
      <c r="I55" s="270">
        <f>I18+I25+I28+I31+I34+I37+I41+I50+I54</f>
        <v>4886546.5999999996</v>
      </c>
      <c r="J55" s="271"/>
      <c r="K55" s="271"/>
      <c r="L55" s="271"/>
      <c r="M55" s="271"/>
      <c r="N55" s="270"/>
      <c r="O55" s="272"/>
      <c r="P55" s="98"/>
      <c r="Q55" s="133"/>
      <c r="R55" s="98"/>
    </row>
    <row r="56" spans="1:70" ht="15" customHeight="1" x14ac:dyDescent="0.45">
      <c r="A56" s="99"/>
      <c r="B56" s="98"/>
      <c r="C56" s="98"/>
      <c r="D56" s="99"/>
      <c r="E56" s="99"/>
      <c r="F56" s="111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</row>
    <row r="57" spans="1:70" ht="15" customHeight="1" x14ac:dyDescent="0.45">
      <c r="A57" s="99"/>
      <c r="B57" s="98"/>
      <c r="C57" s="98"/>
      <c r="D57" s="99"/>
      <c r="E57" s="99"/>
      <c r="F57" s="111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</row>
    <row r="58" spans="1:70" ht="15" customHeight="1" x14ac:dyDescent="0.45">
      <c r="A58" s="99"/>
      <c r="B58" s="98"/>
      <c r="C58" s="98"/>
      <c r="D58" s="99"/>
      <c r="E58" s="99"/>
      <c r="F58" s="111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</row>
    <row r="59" spans="1:70" ht="15" customHeight="1" x14ac:dyDescent="0.45">
      <c r="A59" s="99"/>
      <c r="B59" s="98"/>
      <c r="C59" s="98"/>
      <c r="D59" s="99"/>
      <c r="E59" s="99"/>
      <c r="F59" s="111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</row>
    <row r="60" spans="1:70" ht="15" customHeight="1" x14ac:dyDescent="0.45">
      <c r="A60" s="99"/>
      <c r="B60" s="98"/>
      <c r="C60" s="98"/>
      <c r="D60" s="99"/>
      <c r="E60" s="99"/>
      <c r="F60" s="111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</row>
    <row r="61" spans="1:70" ht="15" customHeight="1" x14ac:dyDescent="0.45">
      <c r="A61" s="99"/>
      <c r="B61" s="98"/>
      <c r="C61" s="98"/>
      <c r="D61" s="99"/>
      <c r="E61" s="99"/>
      <c r="F61" s="111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</row>
    <row r="62" spans="1:70" ht="15" customHeight="1" x14ac:dyDescent="0.45">
      <c r="A62" s="99"/>
      <c r="B62" s="98"/>
      <c r="C62" s="98"/>
      <c r="D62" s="99"/>
      <c r="E62" s="99"/>
      <c r="F62" s="111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</row>
    <row r="63" spans="1:70" ht="15" customHeight="1" x14ac:dyDescent="0.45">
      <c r="A63" s="99"/>
      <c r="B63" s="98"/>
      <c r="C63" s="98"/>
      <c r="D63" s="99"/>
      <c r="E63" s="99"/>
      <c r="F63" s="111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</row>
    <row r="64" spans="1:70" ht="15" customHeight="1" x14ac:dyDescent="0.45">
      <c r="A64" s="99"/>
      <c r="B64" s="98"/>
      <c r="C64" s="98"/>
      <c r="D64" s="99"/>
      <c r="E64" s="99"/>
      <c r="F64" s="111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</row>
    <row r="65" spans="1:18" ht="15" customHeight="1" x14ac:dyDescent="0.45">
      <c r="A65" s="99"/>
      <c r="B65" s="98"/>
      <c r="C65" s="98"/>
      <c r="D65" s="99"/>
      <c r="E65" s="99"/>
      <c r="F65" s="111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</row>
    <row r="66" spans="1:18" ht="15" customHeight="1" x14ac:dyDescent="0.45">
      <c r="A66" s="99"/>
      <c r="B66" s="98"/>
      <c r="C66" s="98"/>
      <c r="D66" s="99"/>
      <c r="E66" s="99"/>
      <c r="F66" s="111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</row>
    <row r="67" spans="1:18" ht="15" customHeight="1" x14ac:dyDescent="0.45">
      <c r="A67" s="99"/>
      <c r="B67" s="98"/>
      <c r="C67" s="98"/>
      <c r="D67" s="99"/>
      <c r="E67" s="99"/>
      <c r="F67" s="111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1:18" ht="15" customHeight="1" x14ac:dyDescent="0.45">
      <c r="A68" s="99"/>
      <c r="B68" s="98"/>
      <c r="C68" s="98"/>
      <c r="D68" s="99"/>
      <c r="E68" s="99"/>
      <c r="F68" s="111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1:18" ht="15" customHeight="1" x14ac:dyDescent="0.45">
      <c r="A69" s="99"/>
      <c r="B69" s="98"/>
      <c r="C69" s="98"/>
      <c r="D69" s="99"/>
      <c r="E69" s="99"/>
      <c r="F69" s="111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</row>
    <row r="70" spans="1:18" ht="15" customHeight="1" x14ac:dyDescent="0.45">
      <c r="A70" s="99"/>
      <c r="B70" s="98"/>
      <c r="C70" s="98"/>
      <c r="D70" s="99"/>
      <c r="E70" s="99"/>
      <c r="F70" s="111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</row>
    <row r="71" spans="1:18" ht="15" customHeight="1" x14ac:dyDescent="0.45">
      <c r="A71" s="99"/>
      <c r="B71" s="98"/>
      <c r="C71" s="98"/>
      <c r="D71" s="99"/>
      <c r="E71" s="99"/>
      <c r="F71" s="111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</row>
    <row r="72" spans="1:18" ht="15" customHeight="1" x14ac:dyDescent="0.45">
      <c r="A72" s="99"/>
      <c r="B72" s="98"/>
      <c r="C72" s="98"/>
      <c r="D72" s="99"/>
      <c r="E72" s="99"/>
      <c r="F72" s="111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</row>
    <row r="73" spans="1:18" ht="15" customHeight="1" x14ac:dyDescent="0.45">
      <c r="A73" s="99"/>
      <c r="B73" s="98"/>
      <c r="C73" s="98"/>
      <c r="D73" s="99"/>
      <c r="E73" s="99"/>
      <c r="F73" s="111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</row>
    <row r="74" spans="1:18" ht="15" customHeight="1" x14ac:dyDescent="0.45">
      <c r="A74" s="99"/>
      <c r="B74" s="98"/>
      <c r="C74" s="98"/>
      <c r="D74" s="99"/>
      <c r="E74" s="99"/>
      <c r="F74" s="111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1:18" ht="15" customHeight="1" x14ac:dyDescent="0.45">
      <c r="A75" s="99"/>
      <c r="B75" s="98"/>
      <c r="C75" s="98"/>
      <c r="D75" s="99"/>
      <c r="E75" s="99"/>
      <c r="F75" s="111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</row>
    <row r="76" spans="1:18" ht="15" customHeight="1" x14ac:dyDescent="0.45">
      <c r="A76" s="99"/>
      <c r="B76" s="98"/>
      <c r="C76" s="98"/>
      <c r="D76" s="99"/>
      <c r="E76" s="99"/>
      <c r="F76" s="111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</row>
    <row r="77" spans="1:18" ht="15" customHeight="1" x14ac:dyDescent="0.45">
      <c r="A77" s="99"/>
      <c r="B77" s="98"/>
      <c r="C77" s="98"/>
      <c r="D77" s="99"/>
      <c r="E77" s="99"/>
      <c r="F77" s="111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</row>
    <row r="78" spans="1:18" ht="15" customHeight="1" x14ac:dyDescent="0.45">
      <c r="A78" s="99"/>
      <c r="B78" s="98"/>
      <c r="C78" s="98"/>
      <c r="D78" s="99"/>
      <c r="E78" s="99"/>
      <c r="F78" s="111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</row>
    <row r="79" spans="1:18" ht="15" customHeight="1" x14ac:dyDescent="0.45">
      <c r="A79" s="99"/>
      <c r="B79" s="98"/>
      <c r="C79" s="98"/>
      <c r="D79" s="99"/>
      <c r="E79" s="99"/>
      <c r="F79" s="111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</row>
    <row r="80" spans="1:18" ht="15" customHeight="1" x14ac:dyDescent="0.45">
      <c r="A80" s="99"/>
      <c r="B80" s="98"/>
      <c r="C80" s="98"/>
      <c r="D80" s="99"/>
      <c r="E80" s="99"/>
      <c r="F80" s="111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1:18" ht="15" customHeight="1" x14ac:dyDescent="0.45">
      <c r="A81" s="99"/>
      <c r="B81" s="98"/>
      <c r="C81" s="98"/>
      <c r="D81" s="99"/>
      <c r="E81" s="99"/>
      <c r="F81" s="111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</row>
    <row r="82" spans="1:18" ht="15" customHeight="1" x14ac:dyDescent="0.45">
      <c r="A82" s="99"/>
      <c r="B82" s="98"/>
      <c r="C82" s="98"/>
      <c r="D82" s="99"/>
      <c r="E82" s="99"/>
      <c r="F82" s="111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</row>
    <row r="83" spans="1:18" ht="15" customHeight="1" x14ac:dyDescent="0.45">
      <c r="A83" s="99"/>
      <c r="B83" s="98"/>
      <c r="C83" s="98"/>
      <c r="D83" s="99"/>
      <c r="E83" s="99"/>
      <c r="F83" s="111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</row>
    <row r="84" spans="1:18" ht="15" customHeight="1" x14ac:dyDescent="0.45">
      <c r="A84" s="99"/>
      <c r="B84" s="98"/>
      <c r="C84" s="98"/>
      <c r="D84" s="99"/>
      <c r="E84" s="99"/>
      <c r="F84" s="111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</row>
    <row r="85" spans="1:18" ht="15" customHeight="1" x14ac:dyDescent="0.45">
      <c r="A85" s="99"/>
      <c r="B85" s="98"/>
      <c r="C85" s="98"/>
      <c r="D85" s="99"/>
      <c r="E85" s="99"/>
      <c r="F85" s="111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</row>
    <row r="86" spans="1:18" ht="15" customHeight="1" x14ac:dyDescent="0.45">
      <c r="A86" s="99"/>
      <c r="B86" s="98"/>
      <c r="C86" s="98"/>
      <c r="D86" s="99"/>
      <c r="E86" s="99"/>
      <c r="F86" s="111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1:18" ht="15" customHeight="1" x14ac:dyDescent="0.45">
      <c r="A87" s="99"/>
      <c r="B87" s="98"/>
      <c r="C87" s="98"/>
      <c r="D87" s="99"/>
      <c r="E87" s="99"/>
      <c r="F87" s="111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</row>
    <row r="88" spans="1:18" ht="15" customHeight="1" x14ac:dyDescent="0.45">
      <c r="A88" s="99"/>
      <c r="B88" s="98"/>
      <c r="C88" s="98"/>
      <c r="D88" s="99"/>
      <c r="E88" s="99"/>
      <c r="F88" s="111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</row>
    <row r="89" spans="1:18" ht="15" customHeight="1" x14ac:dyDescent="0.45">
      <c r="A89" s="99"/>
      <c r="B89" s="98"/>
      <c r="C89" s="98"/>
      <c r="D89" s="99"/>
      <c r="E89" s="99"/>
      <c r="F89" s="111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</row>
    <row r="90" spans="1:18" ht="15" customHeight="1" x14ac:dyDescent="0.45">
      <c r="A90" s="99"/>
      <c r="B90" s="98"/>
      <c r="C90" s="98"/>
      <c r="D90" s="99"/>
      <c r="E90" s="99"/>
      <c r="F90" s="111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</row>
    <row r="91" spans="1:18" ht="15" customHeight="1" x14ac:dyDescent="0.45">
      <c r="A91" s="99"/>
      <c r="B91" s="98"/>
      <c r="C91" s="98"/>
      <c r="D91" s="99"/>
      <c r="E91" s="99"/>
      <c r="F91" s="111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</row>
    <row r="92" spans="1:18" ht="15" customHeight="1" x14ac:dyDescent="0.45">
      <c r="A92" s="99"/>
      <c r="B92" s="98"/>
      <c r="C92" s="98"/>
      <c r="D92" s="99"/>
      <c r="E92" s="99"/>
      <c r="F92" s="111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</row>
    <row r="93" spans="1:18" ht="15" customHeight="1" x14ac:dyDescent="0.45">
      <c r="A93" s="99"/>
      <c r="B93" s="98"/>
      <c r="C93" s="98"/>
      <c r="D93" s="99"/>
      <c r="E93" s="99"/>
      <c r="F93" s="111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</row>
    <row r="94" spans="1:18" ht="15" customHeight="1" x14ac:dyDescent="0.45">
      <c r="A94" s="99"/>
      <c r="B94" s="98"/>
      <c r="C94" s="98"/>
      <c r="D94" s="99"/>
      <c r="E94" s="99"/>
      <c r="F94" s="111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</row>
    <row r="95" spans="1:18" ht="15" customHeight="1" x14ac:dyDescent="0.45">
      <c r="A95" s="99"/>
      <c r="B95" s="98"/>
      <c r="C95" s="98"/>
      <c r="D95" s="99"/>
      <c r="E95" s="99"/>
      <c r="F95" s="111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1:18" ht="15" customHeight="1" x14ac:dyDescent="0.45">
      <c r="A96" s="99"/>
      <c r="B96" s="98"/>
      <c r="C96" s="98"/>
      <c r="D96" s="99"/>
      <c r="E96" s="99"/>
      <c r="F96" s="111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</row>
    <row r="97" spans="1:18" ht="15" customHeight="1" x14ac:dyDescent="0.45">
      <c r="A97" s="99"/>
      <c r="B97" s="98"/>
      <c r="C97" s="98"/>
      <c r="D97" s="99"/>
      <c r="E97" s="99"/>
      <c r="F97" s="111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</row>
    <row r="98" spans="1:18" ht="15" customHeight="1" x14ac:dyDescent="0.45">
      <c r="A98" s="99"/>
      <c r="B98" s="98"/>
      <c r="C98" s="98"/>
      <c r="D98" s="99"/>
      <c r="E98" s="99"/>
      <c r="F98" s="111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</row>
    <row r="99" spans="1:18" ht="15" customHeight="1" x14ac:dyDescent="0.45">
      <c r="A99" s="99"/>
      <c r="B99" s="98"/>
      <c r="C99" s="98"/>
      <c r="D99" s="99"/>
      <c r="E99" s="99"/>
      <c r="F99" s="111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</row>
    <row r="100" spans="1:18" ht="15" customHeight="1" x14ac:dyDescent="0.45">
      <c r="A100" s="99"/>
      <c r="B100" s="98"/>
      <c r="C100" s="98"/>
      <c r="D100" s="99"/>
      <c r="E100" s="99"/>
      <c r="F100" s="111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</row>
    <row r="101" spans="1:18" ht="15" customHeight="1" x14ac:dyDescent="0.45">
      <c r="A101" s="99"/>
      <c r="B101" s="98"/>
      <c r="C101" s="98"/>
      <c r="D101" s="99"/>
      <c r="E101" s="99"/>
      <c r="F101" s="111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</row>
    <row r="102" spans="1:18" ht="15" customHeight="1" x14ac:dyDescent="0.45">
      <c r="A102" s="99"/>
      <c r="B102" s="98"/>
      <c r="C102" s="98"/>
      <c r="D102" s="99"/>
      <c r="E102" s="99"/>
      <c r="F102" s="111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</row>
    <row r="103" spans="1:18" ht="15" customHeight="1" x14ac:dyDescent="0.45">
      <c r="A103" s="99"/>
      <c r="B103" s="98"/>
      <c r="C103" s="98"/>
      <c r="D103" s="99"/>
      <c r="E103" s="99"/>
      <c r="F103" s="111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</row>
    <row r="104" spans="1:18" ht="15" customHeight="1" x14ac:dyDescent="0.45">
      <c r="A104" s="99"/>
      <c r="B104" s="98"/>
      <c r="C104" s="98"/>
      <c r="D104" s="99"/>
      <c r="E104" s="99"/>
      <c r="F104" s="111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</row>
    <row r="105" spans="1:18" ht="15" customHeight="1" x14ac:dyDescent="0.45">
      <c r="A105" s="99"/>
      <c r="B105" s="98"/>
      <c r="C105" s="98"/>
      <c r="D105" s="99"/>
      <c r="E105" s="99"/>
      <c r="F105" s="111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</row>
    <row r="106" spans="1:18" ht="15" customHeight="1" x14ac:dyDescent="0.45">
      <c r="A106" s="99"/>
      <c r="B106" s="98"/>
      <c r="C106" s="98"/>
      <c r="D106" s="99"/>
      <c r="E106" s="99"/>
      <c r="F106" s="111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</row>
    <row r="107" spans="1:18" ht="15" customHeight="1" x14ac:dyDescent="0.45">
      <c r="A107" s="99"/>
      <c r="B107" s="98"/>
      <c r="C107" s="98"/>
      <c r="D107" s="99"/>
      <c r="E107" s="99"/>
      <c r="F107" s="111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</row>
    <row r="108" spans="1:18" ht="15" customHeight="1" x14ac:dyDescent="0.45">
      <c r="A108" s="99"/>
      <c r="B108" s="98"/>
      <c r="C108" s="98"/>
      <c r="D108" s="99"/>
      <c r="E108" s="99"/>
      <c r="F108" s="111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</row>
    <row r="109" spans="1:18" ht="15" customHeight="1" x14ac:dyDescent="0.45">
      <c r="A109" s="99"/>
      <c r="B109" s="98"/>
      <c r="C109" s="98"/>
      <c r="D109" s="99"/>
      <c r="E109" s="99"/>
      <c r="F109" s="111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</row>
    <row r="110" spans="1:18" ht="15" customHeight="1" x14ac:dyDescent="0.45">
      <c r="A110" s="99"/>
      <c r="B110" s="98"/>
      <c r="C110" s="98"/>
      <c r="D110" s="99"/>
      <c r="E110" s="99"/>
      <c r="F110" s="111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</row>
    <row r="111" spans="1:18" ht="15" customHeight="1" x14ac:dyDescent="0.45">
      <c r="A111" s="99"/>
      <c r="B111" s="98"/>
      <c r="C111" s="98"/>
      <c r="D111" s="99"/>
      <c r="E111" s="99"/>
      <c r="F111" s="111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</row>
    <row r="112" spans="1:18" ht="15" customHeight="1" x14ac:dyDescent="0.45">
      <c r="A112" s="99"/>
      <c r="B112" s="98"/>
      <c r="C112" s="98"/>
      <c r="D112" s="99"/>
      <c r="E112" s="99"/>
      <c r="F112" s="111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</row>
    <row r="113" spans="1:18" ht="15" customHeight="1" x14ac:dyDescent="0.45">
      <c r="A113" s="99"/>
      <c r="B113" s="98"/>
      <c r="C113" s="98"/>
      <c r="D113" s="99"/>
      <c r="E113" s="99"/>
      <c r="F113" s="111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</row>
    <row r="114" spans="1:18" ht="15" customHeight="1" x14ac:dyDescent="0.45">
      <c r="A114" s="99"/>
      <c r="B114" s="98"/>
      <c r="C114" s="98"/>
      <c r="D114" s="99"/>
      <c r="E114" s="99"/>
      <c r="F114" s="111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</row>
    <row r="115" spans="1:18" ht="15" customHeight="1" x14ac:dyDescent="0.45">
      <c r="A115" s="99"/>
      <c r="B115" s="98"/>
      <c r="C115" s="98"/>
      <c r="D115" s="99"/>
      <c r="E115" s="99"/>
      <c r="F115" s="111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</row>
    <row r="116" spans="1:18" ht="15" customHeight="1" x14ac:dyDescent="0.45">
      <c r="A116" s="99"/>
      <c r="B116" s="98"/>
      <c r="C116" s="98"/>
      <c r="D116" s="99"/>
      <c r="E116" s="99"/>
      <c r="F116" s="111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</row>
    <row r="117" spans="1:18" ht="15" customHeight="1" x14ac:dyDescent="0.45">
      <c r="A117" s="99"/>
      <c r="B117" s="98"/>
      <c r="C117" s="98"/>
      <c r="D117" s="99"/>
      <c r="E117" s="99"/>
      <c r="F117" s="111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</row>
    <row r="118" spans="1:18" ht="15" customHeight="1" x14ac:dyDescent="0.45">
      <c r="A118" s="99"/>
      <c r="B118" s="98"/>
      <c r="C118" s="98"/>
      <c r="D118" s="99"/>
      <c r="E118" s="99"/>
      <c r="F118" s="111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</row>
    <row r="119" spans="1:18" ht="15" customHeight="1" x14ac:dyDescent="0.45">
      <c r="A119" s="99"/>
      <c r="B119" s="98"/>
      <c r="C119" s="98"/>
      <c r="D119" s="99"/>
      <c r="E119" s="99"/>
      <c r="F119" s="111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</row>
    <row r="120" spans="1:18" ht="15" customHeight="1" x14ac:dyDescent="0.45">
      <c r="A120" s="99"/>
      <c r="B120" s="98"/>
      <c r="C120" s="98"/>
      <c r="D120" s="99"/>
      <c r="E120" s="99"/>
      <c r="F120" s="111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</row>
    <row r="121" spans="1:18" ht="15" customHeight="1" x14ac:dyDescent="0.45">
      <c r="A121" s="99"/>
      <c r="B121" s="98"/>
      <c r="C121" s="98"/>
      <c r="D121" s="99"/>
      <c r="E121" s="99"/>
      <c r="F121" s="111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</row>
    <row r="122" spans="1:18" ht="15" customHeight="1" x14ac:dyDescent="0.45">
      <c r="A122" s="99"/>
      <c r="B122" s="98"/>
      <c r="C122" s="98"/>
      <c r="D122" s="99"/>
      <c r="E122" s="99"/>
      <c r="F122" s="111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</row>
    <row r="123" spans="1:18" ht="15" customHeight="1" x14ac:dyDescent="0.45">
      <c r="A123" s="99"/>
      <c r="B123" s="98"/>
      <c r="C123" s="98"/>
      <c r="D123" s="99"/>
      <c r="E123" s="99"/>
      <c r="F123" s="111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</row>
    <row r="124" spans="1:18" ht="15" customHeight="1" x14ac:dyDescent="0.45">
      <c r="A124" s="99"/>
      <c r="B124" s="98"/>
      <c r="C124" s="98"/>
      <c r="D124" s="99"/>
      <c r="E124" s="99"/>
      <c r="F124" s="111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</row>
    <row r="125" spans="1:18" ht="15" customHeight="1" x14ac:dyDescent="0.45">
      <c r="A125" s="99"/>
      <c r="B125" s="98"/>
      <c r="C125" s="98"/>
      <c r="D125" s="99"/>
      <c r="E125" s="99"/>
      <c r="F125" s="111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</row>
    <row r="126" spans="1:18" ht="15" customHeight="1" x14ac:dyDescent="0.45">
      <c r="A126" s="99"/>
      <c r="B126" s="98"/>
      <c r="C126" s="98"/>
      <c r="D126" s="99"/>
      <c r="E126" s="99"/>
      <c r="F126" s="111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</row>
    <row r="127" spans="1:18" ht="15" customHeight="1" x14ac:dyDescent="0.45">
      <c r="A127" s="99"/>
      <c r="B127" s="98"/>
      <c r="C127" s="98"/>
      <c r="D127" s="99"/>
      <c r="E127" s="99"/>
      <c r="F127" s="111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</row>
    <row r="128" spans="1:18" ht="15" customHeight="1" x14ac:dyDescent="0.45">
      <c r="A128" s="99"/>
      <c r="B128" s="98"/>
      <c r="C128" s="98"/>
      <c r="D128" s="99"/>
      <c r="E128" s="99"/>
      <c r="F128" s="111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</row>
    <row r="129" spans="1:18" ht="15" customHeight="1" x14ac:dyDescent="0.45">
      <c r="A129" s="99"/>
      <c r="B129" s="98"/>
      <c r="C129" s="98"/>
      <c r="D129" s="99"/>
      <c r="E129" s="99"/>
      <c r="F129" s="111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</row>
    <row r="130" spans="1:18" ht="15" customHeight="1" x14ac:dyDescent="0.45">
      <c r="A130" s="99"/>
      <c r="B130" s="98"/>
      <c r="C130" s="98"/>
      <c r="D130" s="99"/>
      <c r="E130" s="99"/>
      <c r="F130" s="111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</row>
    <row r="131" spans="1:18" ht="15" customHeight="1" x14ac:dyDescent="0.45">
      <c r="A131" s="99"/>
      <c r="B131" s="98"/>
      <c r="C131" s="98"/>
      <c r="D131" s="99"/>
      <c r="E131" s="99"/>
      <c r="F131" s="111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</row>
    <row r="132" spans="1:18" ht="15" customHeight="1" x14ac:dyDescent="0.45">
      <c r="A132" s="99"/>
      <c r="B132" s="98"/>
      <c r="C132" s="98"/>
      <c r="D132" s="99"/>
      <c r="E132" s="99"/>
      <c r="F132" s="111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</row>
    <row r="133" spans="1:18" ht="15" customHeight="1" x14ac:dyDescent="0.45">
      <c r="A133" s="99"/>
      <c r="B133" s="98"/>
      <c r="C133" s="98"/>
      <c r="D133" s="99"/>
      <c r="E133" s="99"/>
      <c r="F133" s="111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</row>
    <row r="134" spans="1:18" ht="15" customHeight="1" x14ac:dyDescent="0.45">
      <c r="A134" s="99"/>
      <c r="B134" s="98"/>
      <c r="C134" s="98"/>
      <c r="D134" s="99"/>
      <c r="E134" s="99"/>
      <c r="F134" s="111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</row>
    <row r="135" spans="1:18" ht="15" customHeight="1" x14ac:dyDescent="0.45">
      <c r="A135" s="99"/>
      <c r="B135" s="98"/>
      <c r="C135" s="98"/>
      <c r="D135" s="99"/>
      <c r="E135" s="99"/>
      <c r="F135" s="111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</row>
    <row r="136" spans="1:18" ht="15" customHeight="1" x14ac:dyDescent="0.45">
      <c r="A136" s="99"/>
      <c r="B136" s="98"/>
      <c r="C136" s="98"/>
      <c r="D136" s="99"/>
      <c r="E136" s="99"/>
      <c r="F136" s="111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</row>
    <row r="137" spans="1:18" ht="15" customHeight="1" x14ac:dyDescent="0.45">
      <c r="A137" s="99"/>
      <c r="B137" s="98"/>
      <c r="C137" s="98"/>
      <c r="D137" s="99"/>
      <c r="E137" s="99"/>
      <c r="F137" s="111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</row>
    <row r="138" spans="1:18" ht="15" customHeight="1" x14ac:dyDescent="0.45">
      <c r="A138" s="99"/>
      <c r="B138" s="98"/>
      <c r="C138" s="98"/>
      <c r="D138" s="99"/>
      <c r="E138" s="99"/>
      <c r="F138" s="111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</row>
    <row r="139" spans="1:18" ht="15" customHeight="1" x14ac:dyDescent="0.45">
      <c r="A139" s="99"/>
      <c r="B139" s="98"/>
      <c r="C139" s="98"/>
      <c r="D139" s="99"/>
      <c r="E139" s="99"/>
      <c r="F139" s="111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</row>
    <row r="140" spans="1:18" ht="15" customHeight="1" x14ac:dyDescent="0.45">
      <c r="A140" s="99"/>
      <c r="B140" s="98"/>
      <c r="C140" s="98"/>
      <c r="D140" s="99"/>
      <c r="E140" s="99"/>
      <c r="F140" s="111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</row>
    <row r="141" spans="1:18" ht="15" customHeight="1" x14ac:dyDescent="0.45">
      <c r="A141" s="99"/>
      <c r="B141" s="98"/>
      <c r="C141" s="98"/>
      <c r="D141" s="99"/>
      <c r="E141" s="99"/>
      <c r="F141" s="111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</row>
    <row r="142" spans="1:18" ht="15" customHeight="1" x14ac:dyDescent="0.45">
      <c r="A142" s="99"/>
      <c r="B142" s="98"/>
      <c r="C142" s="98"/>
      <c r="D142" s="99"/>
      <c r="E142" s="99"/>
      <c r="F142" s="111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</row>
    <row r="143" spans="1:18" ht="15" customHeight="1" x14ac:dyDescent="0.45">
      <c r="A143" s="99"/>
      <c r="B143" s="98"/>
      <c r="C143" s="98"/>
      <c r="D143" s="99"/>
      <c r="E143" s="99"/>
      <c r="F143" s="111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</row>
    <row r="144" spans="1:18" ht="15" customHeight="1" x14ac:dyDescent="0.45">
      <c r="A144" s="99"/>
      <c r="B144" s="98"/>
      <c r="C144" s="98"/>
      <c r="D144" s="99"/>
      <c r="E144" s="99"/>
      <c r="F144" s="111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</row>
    <row r="145" spans="1:18" ht="15" customHeight="1" x14ac:dyDescent="0.45">
      <c r="A145" s="99"/>
      <c r="B145" s="98"/>
      <c r="C145" s="98"/>
      <c r="D145" s="99"/>
      <c r="E145" s="99"/>
      <c r="F145" s="111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</row>
    <row r="146" spans="1:18" ht="15" customHeight="1" x14ac:dyDescent="0.45">
      <c r="A146" s="99"/>
      <c r="B146" s="98"/>
      <c r="C146" s="98"/>
      <c r="D146" s="99"/>
      <c r="E146" s="99"/>
      <c r="F146" s="111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</row>
    <row r="147" spans="1:18" ht="15" customHeight="1" x14ac:dyDescent="0.45">
      <c r="A147" s="99"/>
      <c r="B147" s="98"/>
      <c r="C147" s="98"/>
      <c r="D147" s="99"/>
      <c r="E147" s="99"/>
      <c r="F147" s="111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</row>
    <row r="148" spans="1:18" ht="15" customHeight="1" x14ac:dyDescent="0.45">
      <c r="A148" s="99"/>
      <c r="B148" s="98"/>
      <c r="C148" s="98"/>
      <c r="D148" s="99"/>
      <c r="E148" s="99"/>
      <c r="F148" s="111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</row>
    <row r="149" spans="1:18" ht="15" customHeight="1" x14ac:dyDescent="0.45">
      <c r="A149" s="99"/>
      <c r="B149" s="98"/>
      <c r="C149" s="98"/>
      <c r="D149" s="99"/>
      <c r="E149" s="99"/>
      <c r="F149" s="111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</row>
    <row r="150" spans="1:18" ht="15" customHeight="1" x14ac:dyDescent="0.45">
      <c r="A150" s="99"/>
      <c r="B150" s="98"/>
      <c r="C150" s="98"/>
      <c r="D150" s="99"/>
      <c r="E150" s="99"/>
      <c r="F150" s="111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</row>
    <row r="151" spans="1:18" ht="15" customHeight="1" x14ac:dyDescent="0.45">
      <c r="A151" s="99"/>
      <c r="B151" s="98"/>
      <c r="C151" s="98"/>
      <c r="D151" s="99"/>
      <c r="E151" s="99"/>
      <c r="F151" s="111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</row>
    <row r="152" spans="1:18" ht="15" customHeight="1" x14ac:dyDescent="0.45">
      <c r="A152" s="99"/>
      <c r="B152" s="98"/>
      <c r="C152" s="98"/>
      <c r="D152" s="99"/>
      <c r="E152" s="99"/>
      <c r="F152" s="111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</row>
    <row r="153" spans="1:18" ht="15" customHeight="1" x14ac:dyDescent="0.45">
      <c r="A153" s="99"/>
      <c r="B153" s="98"/>
      <c r="C153" s="98"/>
      <c r="D153" s="99"/>
      <c r="E153" s="99"/>
      <c r="F153" s="111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</row>
    <row r="154" spans="1:18" ht="15" customHeight="1" x14ac:dyDescent="0.45">
      <c r="A154" s="99"/>
      <c r="B154" s="98"/>
      <c r="C154" s="98"/>
      <c r="D154" s="99"/>
      <c r="E154" s="99"/>
      <c r="F154" s="111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</row>
    <row r="155" spans="1:18" ht="15" customHeight="1" x14ac:dyDescent="0.45">
      <c r="A155" s="99"/>
      <c r="B155" s="98"/>
      <c r="C155" s="98"/>
      <c r="D155" s="99"/>
      <c r="E155" s="99"/>
      <c r="F155" s="111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</row>
    <row r="156" spans="1:18" ht="15" customHeight="1" x14ac:dyDescent="0.45">
      <c r="A156" s="99"/>
      <c r="B156" s="98"/>
      <c r="C156" s="98"/>
      <c r="D156" s="99"/>
      <c r="E156" s="99"/>
      <c r="F156" s="111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</row>
    <row r="157" spans="1:18" ht="15" customHeight="1" x14ac:dyDescent="0.45">
      <c r="A157" s="99"/>
      <c r="B157" s="98"/>
      <c r="C157" s="98"/>
      <c r="D157" s="99"/>
      <c r="E157" s="99"/>
      <c r="F157" s="111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</row>
    <row r="158" spans="1:18" ht="15" customHeight="1" x14ac:dyDescent="0.45">
      <c r="A158" s="99"/>
      <c r="B158" s="98"/>
      <c r="C158" s="98"/>
      <c r="D158" s="99"/>
      <c r="E158" s="99"/>
      <c r="F158" s="111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</row>
    <row r="159" spans="1:18" ht="15" customHeight="1" x14ac:dyDescent="0.45">
      <c r="A159" s="99"/>
      <c r="B159" s="98"/>
      <c r="C159" s="98"/>
      <c r="D159" s="99"/>
      <c r="E159" s="99"/>
      <c r="F159" s="111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</row>
    <row r="160" spans="1:18" ht="15" customHeight="1" x14ac:dyDescent="0.45">
      <c r="A160" s="99"/>
      <c r="B160" s="98"/>
      <c r="C160" s="98"/>
      <c r="D160" s="99"/>
      <c r="E160" s="99"/>
      <c r="F160" s="111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</row>
    <row r="161" spans="1:18" ht="15" customHeight="1" x14ac:dyDescent="0.45">
      <c r="A161" s="99"/>
      <c r="B161" s="98"/>
      <c r="C161" s="98"/>
      <c r="D161" s="99"/>
      <c r="E161" s="99"/>
      <c r="F161" s="111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</row>
    <row r="162" spans="1:18" ht="15" customHeight="1" x14ac:dyDescent="0.45">
      <c r="A162" s="99"/>
      <c r="B162" s="98"/>
      <c r="C162" s="98"/>
      <c r="D162" s="99"/>
      <c r="E162" s="99"/>
      <c r="F162" s="111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</row>
    <row r="163" spans="1:18" ht="15" customHeight="1" x14ac:dyDescent="0.45">
      <c r="A163" s="99"/>
      <c r="B163" s="98"/>
      <c r="C163" s="98"/>
      <c r="D163" s="99"/>
      <c r="E163" s="99"/>
      <c r="F163" s="111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</row>
    <row r="164" spans="1:18" ht="15" customHeight="1" x14ac:dyDescent="0.45">
      <c r="A164" s="99"/>
      <c r="B164" s="98"/>
      <c r="C164" s="98"/>
      <c r="D164" s="99"/>
      <c r="E164" s="99"/>
      <c r="F164" s="111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</row>
    <row r="165" spans="1:18" ht="15" customHeight="1" x14ac:dyDescent="0.45">
      <c r="A165" s="99"/>
      <c r="B165" s="98"/>
      <c r="C165" s="98"/>
      <c r="D165" s="99"/>
      <c r="E165" s="99"/>
      <c r="F165" s="111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</row>
    <row r="166" spans="1:18" ht="15" customHeight="1" x14ac:dyDescent="0.45">
      <c r="A166" s="99"/>
      <c r="B166" s="98"/>
      <c r="C166" s="98"/>
      <c r="D166" s="99"/>
      <c r="E166" s="99"/>
      <c r="F166" s="111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</row>
    <row r="167" spans="1:18" ht="15" customHeight="1" x14ac:dyDescent="0.45">
      <c r="A167" s="99"/>
      <c r="B167" s="98"/>
      <c r="C167" s="98"/>
      <c r="D167" s="99"/>
      <c r="E167" s="99"/>
      <c r="F167" s="111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</row>
    <row r="168" spans="1:18" ht="15" customHeight="1" x14ac:dyDescent="0.45">
      <c r="A168" s="99"/>
      <c r="B168" s="98"/>
      <c r="C168" s="98"/>
      <c r="D168" s="99"/>
      <c r="E168" s="99"/>
      <c r="F168" s="111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</row>
    <row r="169" spans="1:18" ht="15" customHeight="1" x14ac:dyDescent="0.45">
      <c r="A169" s="99"/>
      <c r="B169" s="98"/>
      <c r="C169" s="98"/>
      <c r="D169" s="99"/>
      <c r="E169" s="99"/>
      <c r="F169" s="111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</row>
    <row r="170" spans="1:18" ht="15" customHeight="1" x14ac:dyDescent="0.45">
      <c r="A170" s="99"/>
      <c r="B170" s="98"/>
      <c r="C170" s="98"/>
      <c r="D170" s="99"/>
      <c r="E170" s="99"/>
      <c r="F170" s="111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</row>
    <row r="171" spans="1:18" ht="15" customHeight="1" x14ac:dyDescent="0.45">
      <c r="A171" s="99"/>
      <c r="B171" s="98"/>
      <c r="C171" s="98"/>
      <c r="D171" s="99"/>
      <c r="E171" s="99"/>
      <c r="F171" s="111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</row>
    <row r="172" spans="1:18" ht="15" customHeight="1" x14ac:dyDescent="0.45">
      <c r="A172" s="99"/>
      <c r="B172" s="98"/>
      <c r="C172" s="98"/>
      <c r="D172" s="99"/>
      <c r="E172" s="99"/>
      <c r="F172" s="111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</row>
    <row r="173" spans="1:18" ht="15" customHeight="1" x14ac:dyDescent="0.45">
      <c r="A173" s="99"/>
      <c r="B173" s="98"/>
      <c r="C173" s="98"/>
      <c r="D173" s="99"/>
      <c r="E173" s="99"/>
      <c r="F173" s="111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</row>
    <row r="174" spans="1:18" ht="15" customHeight="1" x14ac:dyDescent="0.45">
      <c r="A174" s="99"/>
      <c r="B174" s="98"/>
      <c r="C174" s="98"/>
      <c r="D174" s="99"/>
      <c r="E174" s="99"/>
      <c r="F174" s="111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</row>
    <row r="175" spans="1:18" ht="15" customHeight="1" x14ac:dyDescent="0.45">
      <c r="A175" s="99"/>
      <c r="B175" s="98"/>
      <c r="C175" s="98"/>
      <c r="D175" s="99"/>
      <c r="E175" s="99"/>
      <c r="F175" s="111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</row>
    <row r="176" spans="1:18" ht="15" customHeight="1" x14ac:dyDescent="0.45">
      <c r="A176" s="99"/>
      <c r="B176" s="98"/>
      <c r="C176" s="98"/>
      <c r="D176" s="99"/>
      <c r="E176" s="99"/>
      <c r="F176" s="111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</row>
    <row r="177" spans="1:18" ht="15" customHeight="1" x14ac:dyDescent="0.45">
      <c r="A177" s="99"/>
      <c r="B177" s="98"/>
      <c r="C177" s="98"/>
      <c r="D177" s="99"/>
      <c r="E177" s="99"/>
      <c r="F177" s="111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</row>
    <row r="178" spans="1:18" ht="15" customHeight="1" x14ac:dyDescent="0.45">
      <c r="A178" s="99"/>
      <c r="B178" s="98"/>
      <c r="C178" s="98"/>
      <c r="D178" s="99"/>
      <c r="E178" s="99"/>
      <c r="F178" s="111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</row>
    <row r="179" spans="1:18" ht="15" customHeight="1" x14ac:dyDescent="0.45">
      <c r="A179" s="99"/>
      <c r="B179" s="98"/>
      <c r="C179" s="98"/>
      <c r="D179" s="99"/>
      <c r="E179" s="99"/>
      <c r="F179" s="111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</row>
    <row r="180" spans="1:18" ht="15" customHeight="1" x14ac:dyDescent="0.45">
      <c r="A180" s="99"/>
      <c r="B180" s="98"/>
      <c r="C180" s="98"/>
      <c r="D180" s="99"/>
      <c r="E180" s="99"/>
      <c r="F180" s="111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</row>
    <row r="181" spans="1:18" ht="15" customHeight="1" x14ac:dyDescent="0.45">
      <c r="A181" s="99"/>
      <c r="B181" s="98"/>
      <c r="C181" s="98"/>
      <c r="D181" s="99"/>
      <c r="E181" s="99"/>
      <c r="F181" s="111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</row>
    <row r="182" spans="1:18" ht="15" customHeight="1" x14ac:dyDescent="0.45">
      <c r="A182" s="99"/>
      <c r="B182" s="98"/>
      <c r="C182" s="98"/>
      <c r="D182" s="99"/>
      <c r="E182" s="99"/>
      <c r="F182" s="111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</row>
    <row r="183" spans="1:18" ht="15" customHeight="1" x14ac:dyDescent="0.45">
      <c r="A183" s="99"/>
      <c r="B183" s="98"/>
      <c r="C183" s="98"/>
      <c r="D183" s="99"/>
      <c r="E183" s="99"/>
      <c r="F183" s="111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</row>
    <row r="184" spans="1:18" ht="15" customHeight="1" x14ac:dyDescent="0.45">
      <c r="A184" s="99"/>
      <c r="B184" s="98"/>
      <c r="C184" s="98"/>
      <c r="D184" s="99"/>
      <c r="E184" s="99"/>
      <c r="F184" s="111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</row>
    <row r="185" spans="1:18" ht="15" customHeight="1" x14ac:dyDescent="0.45">
      <c r="A185" s="99"/>
      <c r="B185" s="98"/>
      <c r="C185" s="98"/>
      <c r="D185" s="99"/>
      <c r="E185" s="99"/>
      <c r="F185" s="111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</row>
    <row r="186" spans="1:18" ht="15" customHeight="1" x14ac:dyDescent="0.45">
      <c r="A186" s="99"/>
      <c r="B186" s="98"/>
      <c r="C186" s="98"/>
      <c r="D186" s="99"/>
      <c r="E186" s="99"/>
      <c r="F186" s="111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</row>
    <row r="187" spans="1:18" ht="15" customHeight="1" x14ac:dyDescent="0.45">
      <c r="A187" s="99"/>
      <c r="B187" s="98"/>
      <c r="C187" s="98"/>
      <c r="D187" s="99"/>
      <c r="E187" s="99"/>
      <c r="F187" s="111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</row>
    <row r="188" spans="1:18" ht="15" customHeight="1" x14ac:dyDescent="0.45">
      <c r="A188" s="99"/>
      <c r="B188" s="98"/>
      <c r="C188" s="98"/>
      <c r="D188" s="99"/>
      <c r="E188" s="99"/>
      <c r="F188" s="111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</row>
    <row r="189" spans="1:18" ht="15" customHeight="1" x14ac:dyDescent="0.45">
      <c r="A189" s="99"/>
      <c r="B189" s="98"/>
      <c r="C189" s="98"/>
      <c r="D189" s="99"/>
      <c r="E189" s="99"/>
      <c r="F189" s="111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</row>
    <row r="190" spans="1:18" ht="15" customHeight="1" x14ac:dyDescent="0.45">
      <c r="A190" s="99"/>
      <c r="B190" s="98"/>
      <c r="C190" s="98"/>
      <c r="D190" s="99"/>
      <c r="E190" s="99"/>
      <c r="F190" s="111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</row>
    <row r="191" spans="1:18" ht="15" customHeight="1" x14ac:dyDescent="0.45">
      <c r="A191" s="99"/>
      <c r="B191" s="98"/>
      <c r="C191" s="98"/>
      <c r="D191" s="99"/>
      <c r="E191" s="99"/>
      <c r="F191" s="111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</row>
    <row r="192" spans="1:18" ht="15" customHeight="1" x14ac:dyDescent="0.45">
      <c r="A192" s="99"/>
      <c r="B192" s="98"/>
      <c r="C192" s="98"/>
      <c r="D192" s="99"/>
      <c r="E192" s="99"/>
      <c r="F192" s="111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</row>
    <row r="193" spans="1:18" ht="15" customHeight="1" x14ac:dyDescent="0.45">
      <c r="A193" s="99"/>
      <c r="B193" s="98"/>
      <c r="C193" s="98"/>
      <c r="D193" s="99"/>
      <c r="E193" s="99"/>
      <c r="F193" s="111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</row>
    <row r="194" spans="1:18" ht="15" customHeight="1" x14ac:dyDescent="0.45">
      <c r="A194" s="99"/>
      <c r="B194" s="98"/>
      <c r="C194" s="98"/>
      <c r="D194" s="99"/>
      <c r="E194" s="99"/>
      <c r="F194" s="111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</row>
    <row r="195" spans="1:18" ht="15" customHeight="1" x14ac:dyDescent="0.45">
      <c r="A195" s="99"/>
      <c r="B195" s="98"/>
      <c r="C195" s="98"/>
      <c r="D195" s="99"/>
      <c r="E195" s="99"/>
      <c r="F195" s="111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</row>
    <row r="196" spans="1:18" ht="15" customHeight="1" x14ac:dyDescent="0.45">
      <c r="A196" s="99"/>
      <c r="B196" s="98"/>
      <c r="C196" s="98"/>
      <c r="D196" s="99"/>
      <c r="E196" s="99"/>
      <c r="F196" s="111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</row>
    <row r="197" spans="1:18" ht="15" customHeight="1" x14ac:dyDescent="0.45">
      <c r="A197" s="99"/>
      <c r="B197" s="98"/>
      <c r="C197" s="98"/>
      <c r="D197" s="99"/>
      <c r="E197" s="99"/>
      <c r="F197" s="111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</row>
    <row r="198" spans="1:18" ht="15" customHeight="1" x14ac:dyDescent="0.45">
      <c r="A198" s="99"/>
      <c r="B198" s="98"/>
      <c r="C198" s="98"/>
      <c r="D198" s="99"/>
      <c r="E198" s="99"/>
      <c r="F198" s="111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</row>
    <row r="199" spans="1:18" ht="15" customHeight="1" x14ac:dyDescent="0.45">
      <c r="A199" s="99"/>
      <c r="B199" s="98"/>
      <c r="C199" s="98"/>
      <c r="D199" s="99"/>
      <c r="E199" s="99"/>
      <c r="F199" s="111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</row>
    <row r="200" spans="1:18" ht="15" customHeight="1" x14ac:dyDescent="0.45">
      <c r="A200" s="99"/>
      <c r="B200" s="98"/>
      <c r="C200" s="98"/>
      <c r="D200" s="99"/>
      <c r="E200" s="99"/>
      <c r="F200" s="111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</row>
    <row r="201" spans="1:18" ht="15" customHeight="1" x14ac:dyDescent="0.45">
      <c r="A201" s="99"/>
      <c r="B201" s="98"/>
      <c r="C201" s="98"/>
      <c r="D201" s="99"/>
      <c r="E201" s="99"/>
      <c r="F201" s="111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</row>
    <row r="202" spans="1:18" ht="15" customHeight="1" x14ac:dyDescent="0.45">
      <c r="A202" s="99"/>
      <c r="B202" s="98"/>
      <c r="C202" s="98"/>
      <c r="D202" s="99"/>
      <c r="E202" s="99"/>
      <c r="F202" s="111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</row>
    <row r="203" spans="1:18" ht="15" customHeight="1" x14ac:dyDescent="0.45">
      <c r="A203" s="99"/>
      <c r="B203" s="98"/>
      <c r="C203" s="98"/>
      <c r="D203" s="99"/>
      <c r="E203" s="99"/>
      <c r="F203" s="111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</row>
    <row r="204" spans="1:18" ht="15" customHeight="1" x14ac:dyDescent="0.45">
      <c r="A204" s="99"/>
      <c r="B204" s="98"/>
      <c r="C204" s="98"/>
      <c r="D204" s="99"/>
      <c r="E204" s="99"/>
      <c r="F204" s="111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</row>
    <row r="205" spans="1:18" ht="15" customHeight="1" x14ac:dyDescent="0.45">
      <c r="A205" s="99"/>
      <c r="B205" s="98"/>
      <c r="C205" s="98"/>
      <c r="D205" s="99"/>
      <c r="E205" s="99"/>
      <c r="F205" s="111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</row>
    <row r="206" spans="1:18" ht="15" customHeight="1" x14ac:dyDescent="0.45">
      <c r="A206" s="99"/>
      <c r="B206" s="98"/>
      <c r="C206" s="98"/>
      <c r="D206" s="99"/>
      <c r="E206" s="99"/>
      <c r="F206" s="111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</row>
    <row r="207" spans="1:18" ht="15" customHeight="1" x14ac:dyDescent="0.45">
      <c r="A207" s="99"/>
      <c r="B207" s="98"/>
      <c r="C207" s="98"/>
      <c r="D207" s="99"/>
      <c r="E207" s="99"/>
      <c r="F207" s="111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</row>
    <row r="208" spans="1:18" ht="15" customHeight="1" x14ac:dyDescent="0.45">
      <c r="A208" s="99"/>
      <c r="B208" s="98"/>
      <c r="C208" s="98"/>
      <c r="D208" s="99"/>
      <c r="E208" s="99"/>
      <c r="F208" s="111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</row>
    <row r="209" spans="1:18" ht="15" customHeight="1" x14ac:dyDescent="0.45">
      <c r="A209" s="99"/>
      <c r="B209" s="98"/>
      <c r="C209" s="98"/>
      <c r="D209" s="99"/>
      <c r="E209" s="99"/>
      <c r="F209" s="111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</row>
    <row r="210" spans="1:18" ht="15" customHeight="1" x14ac:dyDescent="0.45">
      <c r="A210" s="99"/>
      <c r="B210" s="98"/>
      <c r="C210" s="98"/>
      <c r="D210" s="99"/>
      <c r="E210" s="99"/>
      <c r="F210" s="111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</row>
    <row r="211" spans="1:18" ht="15" customHeight="1" x14ac:dyDescent="0.45">
      <c r="A211" s="99"/>
      <c r="B211" s="98"/>
      <c r="C211" s="98"/>
      <c r="D211" s="99"/>
      <c r="E211" s="99"/>
      <c r="F211" s="111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</row>
    <row r="212" spans="1:18" ht="15" customHeight="1" x14ac:dyDescent="0.45">
      <c r="A212" s="99"/>
      <c r="B212" s="98"/>
      <c r="C212" s="98"/>
      <c r="D212" s="99"/>
      <c r="E212" s="99"/>
      <c r="F212" s="111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</row>
    <row r="213" spans="1:18" ht="15" customHeight="1" x14ac:dyDescent="0.45">
      <c r="A213" s="99"/>
      <c r="B213" s="98"/>
      <c r="C213" s="98"/>
      <c r="D213" s="99"/>
      <c r="E213" s="99"/>
      <c r="F213" s="111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</row>
    <row r="214" spans="1:18" ht="15" customHeight="1" x14ac:dyDescent="0.45">
      <c r="A214" s="99"/>
      <c r="B214" s="98"/>
      <c r="C214" s="98"/>
      <c r="D214" s="99"/>
      <c r="E214" s="99"/>
      <c r="F214" s="111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</row>
    <row r="215" spans="1:18" ht="15" customHeight="1" x14ac:dyDescent="0.45">
      <c r="A215" s="99"/>
      <c r="B215" s="98"/>
      <c r="C215" s="98"/>
      <c r="D215" s="99"/>
      <c r="E215" s="99"/>
      <c r="F215" s="111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</row>
    <row r="216" spans="1:18" ht="15" customHeight="1" x14ac:dyDescent="0.45">
      <c r="A216" s="99"/>
      <c r="B216" s="98"/>
      <c r="C216" s="98"/>
      <c r="D216" s="99"/>
      <c r="E216" s="99"/>
      <c r="F216" s="111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</row>
    <row r="217" spans="1:18" ht="15" customHeight="1" x14ac:dyDescent="0.45">
      <c r="A217" s="99"/>
      <c r="B217" s="98"/>
      <c r="C217" s="98"/>
      <c r="D217" s="99"/>
      <c r="E217" s="99"/>
      <c r="F217" s="111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</row>
    <row r="218" spans="1:18" ht="15" customHeight="1" x14ac:dyDescent="0.45">
      <c r="A218" s="99"/>
      <c r="B218" s="98"/>
      <c r="C218" s="98"/>
      <c r="D218" s="99"/>
      <c r="E218" s="99"/>
      <c r="F218" s="111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</row>
    <row r="219" spans="1:18" ht="15" customHeight="1" x14ac:dyDescent="0.45">
      <c r="A219" s="99"/>
      <c r="B219" s="98"/>
      <c r="C219" s="98"/>
      <c r="D219" s="99"/>
      <c r="E219" s="99"/>
      <c r="F219" s="111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</row>
    <row r="220" spans="1:18" ht="15" customHeight="1" x14ac:dyDescent="0.45">
      <c r="A220" s="99"/>
      <c r="B220" s="98"/>
      <c r="C220" s="98"/>
      <c r="D220" s="99"/>
      <c r="E220" s="99"/>
      <c r="F220" s="111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</row>
    <row r="221" spans="1:18" ht="15" customHeight="1" x14ac:dyDescent="0.45">
      <c r="A221" s="99"/>
      <c r="B221" s="98"/>
      <c r="C221" s="98"/>
      <c r="D221" s="99"/>
      <c r="E221" s="99"/>
      <c r="F221" s="111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</row>
    <row r="222" spans="1:18" ht="15" customHeight="1" x14ac:dyDescent="0.45">
      <c r="A222" s="99"/>
      <c r="B222" s="98"/>
      <c r="C222" s="98"/>
      <c r="D222" s="99"/>
      <c r="E222" s="99"/>
      <c r="F222" s="111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</row>
    <row r="223" spans="1:18" ht="15" customHeight="1" x14ac:dyDescent="0.45">
      <c r="A223" s="99"/>
      <c r="B223" s="98"/>
      <c r="C223" s="98"/>
      <c r="D223" s="99"/>
      <c r="E223" s="99"/>
      <c r="F223" s="111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</row>
    <row r="224" spans="1:18" ht="15" customHeight="1" x14ac:dyDescent="0.45">
      <c r="A224" s="99"/>
      <c r="B224" s="98"/>
      <c r="C224" s="98"/>
      <c r="D224" s="99"/>
      <c r="E224" s="99"/>
      <c r="F224" s="111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</row>
    <row r="225" spans="1:18" ht="15" customHeight="1" x14ac:dyDescent="0.45">
      <c r="A225" s="99"/>
      <c r="B225" s="98"/>
      <c r="C225" s="98"/>
      <c r="D225" s="99"/>
      <c r="E225" s="99"/>
      <c r="F225" s="111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</row>
    <row r="226" spans="1:18" ht="15" customHeight="1" x14ac:dyDescent="0.45">
      <c r="A226" s="99"/>
      <c r="B226" s="98"/>
      <c r="C226" s="98"/>
      <c r="D226" s="99"/>
      <c r="E226" s="99"/>
      <c r="F226" s="111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</row>
    <row r="227" spans="1:18" ht="15" customHeight="1" x14ac:dyDescent="0.45">
      <c r="A227" s="99"/>
      <c r="B227" s="98"/>
      <c r="C227" s="98"/>
      <c r="D227" s="99"/>
      <c r="E227" s="99"/>
      <c r="F227" s="111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</row>
    <row r="228" spans="1:18" ht="15" customHeight="1" x14ac:dyDescent="0.45">
      <c r="A228" s="99"/>
      <c r="B228" s="98"/>
      <c r="C228" s="98"/>
      <c r="D228" s="99"/>
      <c r="E228" s="99"/>
      <c r="F228" s="111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</row>
    <row r="229" spans="1:18" ht="15" customHeight="1" x14ac:dyDescent="0.45">
      <c r="A229" s="99"/>
      <c r="B229" s="98"/>
      <c r="C229" s="98"/>
      <c r="D229" s="99"/>
      <c r="E229" s="99"/>
      <c r="F229" s="111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</row>
    <row r="230" spans="1:18" ht="15" customHeight="1" x14ac:dyDescent="0.45">
      <c r="A230" s="99"/>
      <c r="B230" s="98"/>
      <c r="C230" s="98"/>
      <c r="D230" s="99"/>
      <c r="E230" s="99"/>
      <c r="F230" s="111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</row>
    <row r="231" spans="1:18" ht="15" customHeight="1" x14ac:dyDescent="0.45">
      <c r="A231" s="99"/>
      <c r="B231" s="98"/>
      <c r="C231" s="98"/>
      <c r="D231" s="99"/>
      <c r="E231" s="99"/>
      <c r="F231" s="111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</row>
    <row r="232" spans="1:18" ht="15" customHeight="1" x14ac:dyDescent="0.45">
      <c r="A232" s="99"/>
      <c r="B232" s="98"/>
      <c r="C232" s="98"/>
      <c r="D232" s="99"/>
      <c r="E232" s="99"/>
      <c r="F232" s="111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</row>
    <row r="233" spans="1:18" ht="15" customHeight="1" x14ac:dyDescent="0.45">
      <c r="A233" s="99"/>
      <c r="B233" s="98"/>
      <c r="C233" s="98"/>
      <c r="D233" s="99"/>
      <c r="E233" s="99"/>
      <c r="F233" s="111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</row>
    <row r="234" spans="1:18" ht="15" customHeight="1" x14ac:dyDescent="0.45">
      <c r="A234" s="99"/>
      <c r="B234" s="98"/>
      <c r="C234" s="98"/>
      <c r="D234" s="99"/>
      <c r="E234" s="99"/>
      <c r="F234" s="111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</row>
    <row r="235" spans="1:18" ht="15" customHeight="1" x14ac:dyDescent="0.45">
      <c r="A235" s="99"/>
      <c r="B235" s="98"/>
      <c r="C235" s="98"/>
      <c r="D235" s="99"/>
      <c r="E235" s="99"/>
      <c r="F235" s="111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</row>
    <row r="236" spans="1:18" ht="15" customHeight="1" x14ac:dyDescent="0.45">
      <c r="A236" s="99"/>
      <c r="B236" s="98"/>
      <c r="C236" s="98"/>
      <c r="D236" s="99"/>
      <c r="E236" s="99"/>
      <c r="F236" s="111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</row>
    <row r="237" spans="1:18" ht="15" customHeight="1" x14ac:dyDescent="0.45">
      <c r="A237" s="99"/>
      <c r="B237" s="98"/>
      <c r="C237" s="98"/>
      <c r="D237" s="99"/>
      <c r="E237" s="99"/>
      <c r="F237" s="111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</row>
    <row r="238" spans="1:18" ht="15" customHeight="1" x14ac:dyDescent="0.45">
      <c r="A238" s="99"/>
      <c r="B238" s="98"/>
      <c r="C238" s="98"/>
      <c r="D238" s="99"/>
      <c r="E238" s="99"/>
      <c r="F238" s="111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</row>
    <row r="239" spans="1:18" ht="15" customHeight="1" x14ac:dyDescent="0.45">
      <c r="A239" s="99"/>
      <c r="B239" s="98"/>
      <c r="C239" s="98"/>
      <c r="D239" s="99"/>
      <c r="E239" s="99"/>
      <c r="F239" s="111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</row>
    <row r="240" spans="1:18" ht="15" customHeight="1" x14ac:dyDescent="0.45">
      <c r="A240" s="99"/>
      <c r="B240" s="98"/>
      <c r="C240" s="98"/>
      <c r="D240" s="99"/>
      <c r="E240" s="99"/>
      <c r="F240" s="111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</row>
  </sheetData>
  <autoFilter ref="A4:O27" xr:uid="{730A3079-73D7-4EFC-9C97-F444DB0FFBD8}"/>
  <mergeCells count="20">
    <mergeCell ref="B34:F34"/>
    <mergeCell ref="B35:O35"/>
    <mergeCell ref="B37:F37"/>
    <mergeCell ref="B38:O38"/>
    <mergeCell ref="B54:F54"/>
    <mergeCell ref="B51:O51"/>
    <mergeCell ref="B50:F50"/>
    <mergeCell ref="B42:O42"/>
    <mergeCell ref="B41:F41"/>
    <mergeCell ref="B32:O32"/>
    <mergeCell ref="B31:F31"/>
    <mergeCell ref="B1:O1"/>
    <mergeCell ref="B2:O2"/>
    <mergeCell ref="B5:O5"/>
    <mergeCell ref="B25:F25"/>
    <mergeCell ref="B26:O26"/>
    <mergeCell ref="B28:F28"/>
    <mergeCell ref="B29:O29"/>
    <mergeCell ref="B18:F18"/>
    <mergeCell ref="B19:O19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1C8B-BA0D-4DD2-A0D1-30FAB4210390}">
  <sheetPr codeName="Hoja4"/>
  <dimension ref="A1:BY86"/>
  <sheetViews>
    <sheetView zoomScale="120" zoomScaleNormal="120" workbookViewId="0">
      <selection activeCell="F6" sqref="F6"/>
    </sheetView>
  </sheetViews>
  <sheetFormatPr baseColWidth="10" defaultColWidth="11.3984375" defaultRowHeight="14.25" x14ac:dyDescent="0.45"/>
  <cols>
    <col min="1" max="1" width="3" customWidth="1"/>
    <col min="2" max="2" width="17.73046875" style="14" customWidth="1"/>
    <col min="3" max="4" width="23.73046875" style="14" customWidth="1"/>
    <col min="5" max="5" width="35.265625" style="14" customWidth="1"/>
    <col min="6" max="6" width="24" style="14" customWidth="1"/>
    <col min="7" max="7" width="15.265625" style="84" customWidth="1"/>
    <col min="8" max="9" width="14.59765625" style="84" customWidth="1"/>
    <col min="10" max="10" width="7.59765625" customWidth="1"/>
    <col min="11" max="11" width="17.265625" customWidth="1"/>
    <col min="12" max="12" width="19.3984375" customWidth="1"/>
    <col min="13" max="13" width="18.265625" customWidth="1"/>
    <col min="14" max="15" width="26.265625" customWidth="1"/>
    <col min="16" max="16" width="9.3984375" customWidth="1"/>
    <col min="17" max="17" width="7.73046875" style="118" customWidth="1"/>
  </cols>
  <sheetData>
    <row r="1" spans="1:77" s="14" customFormat="1" ht="21.75" x14ac:dyDescent="0.45">
      <c r="A1" s="21"/>
      <c r="B1" s="361" t="s">
        <v>0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21"/>
      <c r="S1" s="21"/>
    </row>
    <row r="2" spans="1:77" s="14" customFormat="1" ht="15.75" customHeight="1" x14ac:dyDescent="0.45">
      <c r="A2" s="21"/>
      <c r="B2" s="345" t="s">
        <v>573</v>
      </c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21"/>
      <c r="S2" s="21"/>
    </row>
    <row r="3" spans="1:77" s="122" customFormat="1" ht="15.4" x14ac:dyDescent="0.4">
      <c r="A3" s="308"/>
      <c r="B3" s="221" t="s">
        <v>2</v>
      </c>
      <c r="C3" s="221" t="s">
        <v>574</v>
      </c>
      <c r="D3" s="221" t="s">
        <v>6</v>
      </c>
      <c r="E3" s="221" t="s">
        <v>575</v>
      </c>
      <c r="F3" s="221" t="s">
        <v>576</v>
      </c>
      <c r="G3" s="229" t="s">
        <v>577</v>
      </c>
      <c r="H3" s="229" t="s">
        <v>578</v>
      </c>
      <c r="I3" s="229" t="s">
        <v>579</v>
      </c>
      <c r="J3" s="221" t="s">
        <v>580</v>
      </c>
      <c r="K3" s="221" t="s">
        <v>11</v>
      </c>
      <c r="L3" s="221" t="s">
        <v>13</v>
      </c>
      <c r="M3" s="121" t="s">
        <v>14</v>
      </c>
      <c r="N3" s="121" t="s">
        <v>16</v>
      </c>
      <c r="O3" s="121" t="s">
        <v>581</v>
      </c>
      <c r="P3" s="121" t="s">
        <v>19</v>
      </c>
      <c r="Q3" s="121" t="s">
        <v>582</v>
      </c>
      <c r="R3" s="122" t="s">
        <v>583</v>
      </c>
    </row>
    <row r="4" spans="1:77" s="12" customFormat="1" ht="13.15" x14ac:dyDescent="0.45">
      <c r="A4" s="223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119"/>
      <c r="O4" s="119"/>
      <c r="P4" s="119"/>
      <c r="Q4" s="119"/>
      <c r="R4" s="21"/>
      <c r="S4" s="21"/>
    </row>
    <row r="5" spans="1:77" s="23" customFormat="1" ht="13.15" x14ac:dyDescent="0.45">
      <c r="A5" s="96">
        <v>1</v>
      </c>
      <c r="B5" s="96" t="s">
        <v>22</v>
      </c>
      <c r="C5" s="96" t="s">
        <v>195</v>
      </c>
      <c r="D5" s="309"/>
      <c r="E5" s="96" t="s">
        <v>584</v>
      </c>
      <c r="F5" s="96" t="s">
        <v>585</v>
      </c>
      <c r="G5" s="172">
        <v>5.09</v>
      </c>
      <c r="H5" s="310"/>
      <c r="I5" s="310"/>
      <c r="J5" s="311" t="s">
        <v>67</v>
      </c>
      <c r="K5" s="156" t="s">
        <v>49</v>
      </c>
      <c r="L5" s="156"/>
      <c r="M5" s="312"/>
      <c r="N5" s="156"/>
      <c r="O5" s="156" t="s">
        <v>586</v>
      </c>
      <c r="P5" s="156" t="s">
        <v>587</v>
      </c>
      <c r="Q5" s="156"/>
      <c r="R5" s="28" t="s">
        <v>588</v>
      </c>
      <c r="S5" s="28"/>
    </row>
    <row r="6" spans="1:77" s="61" customFormat="1" ht="13.15" x14ac:dyDescent="0.45">
      <c r="A6" s="96">
        <v>2</v>
      </c>
      <c r="B6" s="96" t="s">
        <v>22</v>
      </c>
      <c r="C6" s="96" t="s">
        <v>589</v>
      </c>
      <c r="D6" s="96" t="s">
        <v>26</v>
      </c>
      <c r="E6" s="96" t="s">
        <v>36</v>
      </c>
      <c r="F6" s="96" t="s">
        <v>585</v>
      </c>
      <c r="G6" s="172"/>
      <c r="H6" s="310">
        <f t="shared" ref="H6" si="0">I6/10.764</f>
        <v>9754.7380156075815</v>
      </c>
      <c r="I6" s="310">
        <v>105000</v>
      </c>
      <c r="J6" s="311" t="s">
        <v>54</v>
      </c>
      <c r="K6" s="156" t="s">
        <v>29</v>
      </c>
      <c r="L6" s="156"/>
      <c r="M6" s="312" t="s">
        <v>42</v>
      </c>
      <c r="N6" s="156"/>
      <c r="O6" s="156"/>
      <c r="P6" s="156" t="s">
        <v>587</v>
      </c>
      <c r="Q6" s="156"/>
      <c r="R6" s="28"/>
      <c r="S6" s="28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95"/>
    </row>
    <row r="7" spans="1:77" s="61" customFormat="1" ht="13.15" x14ac:dyDescent="0.45">
      <c r="A7" s="96">
        <v>3</v>
      </c>
      <c r="B7" s="96" t="s">
        <v>22</v>
      </c>
      <c r="C7" s="96" t="s">
        <v>590</v>
      </c>
      <c r="D7" s="96" t="s">
        <v>74</v>
      </c>
      <c r="E7" s="96" t="s">
        <v>591</v>
      </c>
      <c r="F7" s="96" t="s">
        <v>585</v>
      </c>
      <c r="G7" s="172">
        <v>4.3</v>
      </c>
      <c r="H7" s="310">
        <f>I7/10.764</f>
        <v>15449.925678186548</v>
      </c>
      <c r="I7" s="310">
        <v>166303</v>
      </c>
      <c r="J7" s="311" t="s">
        <v>28</v>
      </c>
      <c r="K7" s="156" t="s">
        <v>49</v>
      </c>
      <c r="L7" s="156"/>
      <c r="M7" s="312" t="s">
        <v>42</v>
      </c>
      <c r="N7" s="156"/>
      <c r="O7" s="156"/>
      <c r="P7" s="156" t="s">
        <v>587</v>
      </c>
      <c r="Q7" s="156"/>
      <c r="R7" s="28"/>
      <c r="S7" s="28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95"/>
    </row>
    <row r="8" spans="1:77" s="90" customFormat="1" ht="13.5" customHeight="1" x14ac:dyDescent="0.45">
      <c r="A8" s="96">
        <v>4</v>
      </c>
      <c r="B8" s="96" t="s">
        <v>22</v>
      </c>
      <c r="C8" s="96" t="s">
        <v>592</v>
      </c>
      <c r="D8" s="96"/>
      <c r="E8" s="96"/>
      <c r="F8" s="96"/>
      <c r="G8" s="97"/>
      <c r="H8" s="170"/>
      <c r="I8" s="171"/>
      <c r="J8" s="171"/>
      <c r="K8" s="159"/>
      <c r="L8" s="159"/>
      <c r="M8" s="159"/>
      <c r="N8" s="96"/>
      <c r="O8" s="159"/>
      <c r="P8" s="96"/>
      <c r="Q8" s="96"/>
      <c r="R8" s="23"/>
      <c r="S8" s="157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158"/>
    </row>
    <row r="9" spans="1:77" s="96" customFormat="1" ht="13.5" customHeight="1" x14ac:dyDescent="0.45">
      <c r="A9" s="96">
        <v>5</v>
      </c>
      <c r="B9" s="96" t="s">
        <v>22</v>
      </c>
      <c r="C9" s="96" t="s">
        <v>593</v>
      </c>
      <c r="G9" s="97"/>
      <c r="H9" s="170"/>
      <c r="I9" s="171"/>
      <c r="J9" s="171"/>
      <c r="K9" s="159"/>
      <c r="L9" s="159"/>
      <c r="M9" s="159"/>
      <c r="O9" s="159"/>
      <c r="R9" s="23"/>
      <c r="S9" s="157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160"/>
    </row>
    <row r="10" spans="1:77" s="96" customFormat="1" ht="13.5" customHeight="1" x14ac:dyDescent="0.45">
      <c r="A10" s="96">
        <v>6</v>
      </c>
      <c r="B10" s="96" t="s">
        <v>22</v>
      </c>
      <c r="C10" s="96" t="s">
        <v>594</v>
      </c>
      <c r="D10" s="96" t="s">
        <v>274</v>
      </c>
      <c r="E10" s="96" t="s">
        <v>99</v>
      </c>
      <c r="G10" s="97"/>
      <c r="H10" s="170"/>
      <c r="I10" s="171"/>
      <c r="J10" s="171"/>
      <c r="K10" s="159"/>
      <c r="L10" s="159"/>
      <c r="M10" s="159"/>
      <c r="O10" s="159"/>
      <c r="R10" s="23"/>
      <c r="S10" s="157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160"/>
    </row>
    <row r="11" spans="1:77" s="61" customFormat="1" ht="13.15" x14ac:dyDescent="0.45">
      <c r="A11" s="96">
        <v>7</v>
      </c>
      <c r="B11" s="96" t="s">
        <v>235</v>
      </c>
      <c r="C11" s="96" t="s">
        <v>595</v>
      </c>
      <c r="D11" s="96" t="s">
        <v>596</v>
      </c>
      <c r="E11" s="96" t="s">
        <v>265</v>
      </c>
      <c r="F11" s="96" t="s">
        <v>585</v>
      </c>
      <c r="G11" s="172"/>
      <c r="H11" s="310">
        <f>I11/10.764</f>
        <v>60000.000000000007</v>
      </c>
      <c r="I11" s="310">
        <v>645840</v>
      </c>
      <c r="J11" s="311" t="s">
        <v>28</v>
      </c>
      <c r="K11" s="156" t="s">
        <v>597</v>
      </c>
      <c r="L11" s="156"/>
      <c r="M11" s="312" t="s">
        <v>276</v>
      </c>
      <c r="N11" s="156"/>
      <c r="O11" s="156"/>
      <c r="P11" s="156" t="s">
        <v>587</v>
      </c>
      <c r="Q11" s="156"/>
      <c r="R11" s="28"/>
      <c r="S11" s="28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95"/>
    </row>
    <row r="12" spans="1:77" s="61" customFormat="1" ht="13.15" x14ac:dyDescent="0.45">
      <c r="A12" s="96">
        <v>8</v>
      </c>
      <c r="B12" s="96" t="s">
        <v>235</v>
      </c>
      <c r="C12" s="96" t="s">
        <v>598</v>
      </c>
      <c r="D12" s="96" t="s">
        <v>596</v>
      </c>
      <c r="E12" s="96" t="s">
        <v>265</v>
      </c>
      <c r="F12" s="96" t="s">
        <v>585</v>
      </c>
      <c r="G12" s="172"/>
      <c r="H12" s="310">
        <f t="shared" ref="H12" si="1">I12/10.764</f>
        <v>40000</v>
      </c>
      <c r="I12" s="310">
        <v>430560</v>
      </c>
      <c r="J12" s="311" t="s">
        <v>28</v>
      </c>
      <c r="K12" s="156" t="s">
        <v>597</v>
      </c>
      <c r="L12" s="156"/>
      <c r="M12" s="312" t="s">
        <v>276</v>
      </c>
      <c r="N12" s="156"/>
      <c r="O12" s="156"/>
      <c r="P12" s="156" t="s">
        <v>587</v>
      </c>
      <c r="Q12" s="156"/>
      <c r="R12" s="28"/>
      <c r="S12" s="28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95"/>
    </row>
    <row r="13" spans="1:77" s="61" customFormat="1" ht="13.15" x14ac:dyDescent="0.45">
      <c r="A13" s="96">
        <v>9</v>
      </c>
      <c r="B13" s="96" t="s">
        <v>235</v>
      </c>
      <c r="C13" s="96" t="s">
        <v>599</v>
      </c>
      <c r="D13" s="96"/>
      <c r="E13" s="96" t="s">
        <v>600</v>
      </c>
      <c r="F13" s="96" t="s">
        <v>585</v>
      </c>
      <c r="G13" s="172"/>
      <c r="H13" s="310">
        <f t="shared" ref="H13:H20" si="2">I13/10.764</f>
        <v>59000</v>
      </c>
      <c r="I13" s="310">
        <v>635076</v>
      </c>
      <c r="J13" s="311" t="s">
        <v>40</v>
      </c>
      <c r="K13" s="156" t="s">
        <v>597</v>
      </c>
      <c r="L13" s="156"/>
      <c r="M13" s="312" t="s">
        <v>231</v>
      </c>
      <c r="N13" s="156"/>
      <c r="O13" s="156"/>
      <c r="P13" s="156" t="s">
        <v>587</v>
      </c>
      <c r="Q13" s="156"/>
      <c r="R13" s="28"/>
      <c r="S13" s="28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95"/>
    </row>
    <row r="14" spans="1:77" s="61" customFormat="1" ht="13.15" x14ac:dyDescent="0.45">
      <c r="A14" s="96">
        <v>10</v>
      </c>
      <c r="B14" s="96" t="s">
        <v>384</v>
      </c>
      <c r="C14" s="96" t="s">
        <v>601</v>
      </c>
      <c r="D14" s="96"/>
      <c r="E14" s="96" t="s">
        <v>602</v>
      </c>
      <c r="F14" s="96" t="s">
        <v>585</v>
      </c>
      <c r="G14" s="172"/>
      <c r="H14" s="310">
        <f t="shared" si="2"/>
        <v>55000</v>
      </c>
      <c r="I14" s="310">
        <v>592020</v>
      </c>
      <c r="J14" s="311" t="s">
        <v>54</v>
      </c>
      <c r="K14" s="156" t="s">
        <v>597</v>
      </c>
      <c r="L14" s="156"/>
      <c r="M14" s="312" t="s">
        <v>56</v>
      </c>
      <c r="N14" s="156"/>
      <c r="O14" s="156"/>
      <c r="P14" s="156" t="s">
        <v>587</v>
      </c>
      <c r="Q14" s="156"/>
      <c r="R14" s="28"/>
      <c r="S14" s="28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95"/>
    </row>
    <row r="15" spans="1:77" s="61" customFormat="1" ht="13.15" x14ac:dyDescent="0.45">
      <c r="A15" s="96">
        <v>11</v>
      </c>
      <c r="B15" s="96" t="s">
        <v>384</v>
      </c>
      <c r="C15" s="96" t="s">
        <v>603</v>
      </c>
      <c r="D15" s="96"/>
      <c r="E15" s="96" t="s">
        <v>602</v>
      </c>
      <c r="F15" s="96" t="s">
        <v>585</v>
      </c>
      <c r="G15" s="172"/>
      <c r="H15" s="310">
        <f t="shared" ref="H15" si="3">I15/10.764</f>
        <v>10662.393162393164</v>
      </c>
      <c r="I15" s="310">
        <v>114770</v>
      </c>
      <c r="J15" s="311" t="s">
        <v>40</v>
      </c>
      <c r="K15" s="156" t="s">
        <v>597</v>
      </c>
      <c r="L15" s="156"/>
      <c r="M15" s="312" t="s">
        <v>42</v>
      </c>
      <c r="N15" s="156"/>
      <c r="O15" s="156"/>
      <c r="P15" s="156" t="s">
        <v>587</v>
      </c>
      <c r="Q15" s="156"/>
      <c r="R15" s="28"/>
      <c r="S15" s="28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95"/>
    </row>
    <row r="16" spans="1:77" s="61" customFormat="1" ht="13.15" x14ac:dyDescent="0.45">
      <c r="A16" s="96">
        <v>12</v>
      </c>
      <c r="B16" s="96" t="s">
        <v>384</v>
      </c>
      <c r="C16" s="96" t="s">
        <v>604</v>
      </c>
      <c r="D16" s="96" t="s">
        <v>605</v>
      </c>
      <c r="E16" s="96" t="s">
        <v>606</v>
      </c>
      <c r="F16" s="96" t="s">
        <v>585</v>
      </c>
      <c r="G16" s="172"/>
      <c r="H16" s="310">
        <f t="shared" si="2"/>
        <v>19972.87253808993</v>
      </c>
      <c r="I16" s="310">
        <v>214988</v>
      </c>
      <c r="J16" s="311" t="s">
        <v>40</v>
      </c>
      <c r="K16" s="156" t="s">
        <v>597</v>
      </c>
      <c r="L16" s="156"/>
      <c r="M16" s="312" t="s">
        <v>42</v>
      </c>
      <c r="N16" s="156"/>
      <c r="O16" s="156"/>
      <c r="P16" s="156" t="s">
        <v>587</v>
      </c>
      <c r="Q16" s="156"/>
      <c r="R16" s="28"/>
      <c r="S16" s="28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95"/>
    </row>
    <row r="17" spans="1:77" s="61" customFormat="1" ht="13.15" x14ac:dyDescent="0.45">
      <c r="A17" s="96">
        <v>13</v>
      </c>
      <c r="B17" s="96" t="s">
        <v>384</v>
      </c>
      <c r="C17" s="96" t="s">
        <v>607</v>
      </c>
      <c r="D17" s="96"/>
      <c r="E17" s="96" t="s">
        <v>606</v>
      </c>
      <c r="F17" s="96" t="s">
        <v>585</v>
      </c>
      <c r="G17" s="172"/>
      <c r="H17" s="310">
        <f t="shared" si="2"/>
        <v>15159.698996655519</v>
      </c>
      <c r="I17" s="310">
        <v>163179</v>
      </c>
      <c r="J17" s="311" t="s">
        <v>40</v>
      </c>
      <c r="K17" s="156" t="s">
        <v>597</v>
      </c>
      <c r="L17" s="156"/>
      <c r="M17" s="312" t="s">
        <v>42</v>
      </c>
      <c r="N17" s="156"/>
      <c r="O17" s="156"/>
      <c r="P17" s="156" t="s">
        <v>587</v>
      </c>
      <c r="Q17" s="156"/>
      <c r="R17" s="28"/>
      <c r="S17" s="28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95"/>
    </row>
    <row r="18" spans="1:77" s="61" customFormat="1" ht="13.15" x14ac:dyDescent="0.45">
      <c r="A18" s="96">
        <v>14</v>
      </c>
      <c r="B18" s="96" t="s">
        <v>384</v>
      </c>
      <c r="C18" s="96" t="s">
        <v>608</v>
      </c>
      <c r="D18" s="96"/>
      <c r="E18" s="96" t="s">
        <v>606</v>
      </c>
      <c r="F18" s="96" t="s">
        <v>585</v>
      </c>
      <c r="G18" s="172"/>
      <c r="H18" s="310">
        <f t="shared" si="2"/>
        <v>10000</v>
      </c>
      <c r="I18" s="310">
        <v>107640</v>
      </c>
      <c r="J18" s="311" t="s">
        <v>40</v>
      </c>
      <c r="K18" s="156" t="s">
        <v>597</v>
      </c>
      <c r="L18" s="156"/>
      <c r="M18" s="312" t="s">
        <v>42</v>
      </c>
      <c r="N18" s="156"/>
      <c r="O18" s="156"/>
      <c r="P18" s="156" t="s">
        <v>587</v>
      </c>
      <c r="Q18" s="156"/>
      <c r="R18" s="28"/>
      <c r="S18" s="28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95"/>
    </row>
    <row r="19" spans="1:77" s="61" customFormat="1" ht="13.15" x14ac:dyDescent="0.45">
      <c r="A19" s="96">
        <v>15</v>
      </c>
      <c r="B19" s="96" t="s">
        <v>384</v>
      </c>
      <c r="C19" s="96" t="s">
        <v>604</v>
      </c>
      <c r="D19" s="96" t="s">
        <v>605</v>
      </c>
      <c r="E19" s="96" t="s">
        <v>606</v>
      </c>
      <c r="F19" s="96" t="s">
        <v>585</v>
      </c>
      <c r="G19" s="172"/>
      <c r="H19" s="310">
        <f>I19/10.764</f>
        <v>5635.0798959494614</v>
      </c>
      <c r="I19" s="310">
        <v>60656</v>
      </c>
      <c r="J19" s="311" t="s">
        <v>40</v>
      </c>
      <c r="K19" s="156" t="s">
        <v>597</v>
      </c>
      <c r="L19" s="156"/>
      <c r="M19" s="312" t="s">
        <v>42</v>
      </c>
      <c r="N19" s="156"/>
      <c r="O19" s="156"/>
      <c r="P19" s="156" t="s">
        <v>587</v>
      </c>
      <c r="Q19" s="156"/>
      <c r="R19" s="28"/>
      <c r="S19" s="28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95"/>
    </row>
    <row r="20" spans="1:77" s="61" customFormat="1" ht="13.15" x14ac:dyDescent="0.45">
      <c r="A20" s="96">
        <v>16</v>
      </c>
      <c r="B20" s="96" t="s">
        <v>384</v>
      </c>
      <c r="C20" s="96" t="s">
        <v>609</v>
      </c>
      <c r="D20" s="96" t="s">
        <v>610</v>
      </c>
      <c r="E20" s="96" t="s">
        <v>606</v>
      </c>
      <c r="F20" s="96" t="s">
        <v>585</v>
      </c>
      <c r="G20" s="172"/>
      <c r="H20" s="310">
        <f t="shared" si="2"/>
        <v>5000</v>
      </c>
      <c r="I20" s="310">
        <v>53820</v>
      </c>
      <c r="J20" s="311" t="s">
        <v>40</v>
      </c>
      <c r="K20" s="156" t="s">
        <v>597</v>
      </c>
      <c r="L20" s="156"/>
      <c r="M20" s="312" t="s">
        <v>231</v>
      </c>
      <c r="N20" s="156"/>
      <c r="O20" s="156"/>
      <c r="P20" s="156" t="s">
        <v>587</v>
      </c>
      <c r="Q20" s="156"/>
      <c r="R20" s="28"/>
      <c r="S20" s="28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95"/>
    </row>
    <row r="21" spans="1:77" s="96" customFormat="1" ht="13.5" customHeight="1" x14ac:dyDescent="0.45">
      <c r="A21" s="96">
        <v>17</v>
      </c>
      <c r="B21" s="96" t="s">
        <v>384</v>
      </c>
      <c r="C21" s="96" t="s">
        <v>134</v>
      </c>
      <c r="D21" s="156" t="s">
        <v>597</v>
      </c>
      <c r="E21" s="96" t="s">
        <v>611</v>
      </c>
      <c r="G21" s="172">
        <v>30</v>
      </c>
      <c r="H21" s="170"/>
      <c r="I21" s="170"/>
      <c r="J21" s="171"/>
      <c r="K21" s="156" t="s">
        <v>49</v>
      </c>
      <c r="L21" s="312" t="s">
        <v>134</v>
      </c>
      <c r="M21" s="312"/>
      <c r="O21" s="159"/>
      <c r="R21" s="23"/>
      <c r="S21" s="157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160"/>
    </row>
    <row r="22" spans="1:77" s="96" customFormat="1" ht="13.5" customHeight="1" x14ac:dyDescent="0.45">
      <c r="A22" s="96">
        <v>18</v>
      </c>
      <c r="B22" s="96" t="s">
        <v>387</v>
      </c>
      <c r="C22" s="96" t="s">
        <v>612</v>
      </c>
      <c r="D22" s="96" t="s">
        <v>613</v>
      </c>
      <c r="E22" s="96" t="s">
        <v>400</v>
      </c>
      <c r="G22" s="173"/>
      <c r="H22" s="310">
        <v>41658</v>
      </c>
      <c r="I22" s="310">
        <f>H22*10.764</f>
        <v>448406.712</v>
      </c>
      <c r="J22" s="172" t="s">
        <v>28</v>
      </c>
      <c r="K22" s="156" t="s">
        <v>29</v>
      </c>
      <c r="L22" s="159"/>
      <c r="M22" s="159"/>
      <c r="O22" s="159"/>
      <c r="R22" s="23"/>
      <c r="S22" s="157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160"/>
    </row>
    <row r="23" spans="1:77" s="96" customFormat="1" ht="13.5" customHeight="1" x14ac:dyDescent="0.45">
      <c r="A23" s="96">
        <v>19</v>
      </c>
      <c r="B23" s="96" t="s">
        <v>614</v>
      </c>
      <c r="C23" s="96" t="s">
        <v>615</v>
      </c>
      <c r="D23" s="96" t="s">
        <v>616</v>
      </c>
      <c r="E23" s="96" t="s">
        <v>617</v>
      </c>
      <c r="G23" s="173"/>
      <c r="H23" s="310">
        <v>26946</v>
      </c>
      <c r="I23" s="310">
        <f>H23*10.764</f>
        <v>290046.74400000001</v>
      </c>
      <c r="J23" s="172" t="s">
        <v>28</v>
      </c>
      <c r="K23" s="156" t="s">
        <v>49</v>
      </c>
      <c r="L23" s="159"/>
      <c r="M23" s="159"/>
      <c r="O23" s="159"/>
      <c r="R23" s="23"/>
      <c r="S23" s="157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160"/>
    </row>
    <row r="24" spans="1:77" s="23" customFormat="1" ht="13.15" x14ac:dyDescent="0.45">
      <c r="A24" s="96">
        <v>20</v>
      </c>
      <c r="B24" s="96" t="s">
        <v>424</v>
      </c>
      <c r="C24" s="96" t="s">
        <v>618</v>
      </c>
      <c r="D24" s="96"/>
      <c r="E24" s="96" t="s">
        <v>265</v>
      </c>
      <c r="F24" s="96" t="s">
        <v>585</v>
      </c>
      <c r="G24" s="172">
        <v>3.5</v>
      </c>
      <c r="H24" s="310"/>
      <c r="I24" s="310"/>
      <c r="J24" s="311" t="s">
        <v>67</v>
      </c>
      <c r="K24" s="156" t="s">
        <v>619</v>
      </c>
      <c r="L24" s="156"/>
      <c r="M24" s="312"/>
      <c r="N24" s="156" t="s">
        <v>620</v>
      </c>
      <c r="O24" s="156"/>
      <c r="P24" s="156" t="s">
        <v>587</v>
      </c>
      <c r="Q24" s="156"/>
      <c r="R24" s="28" t="s">
        <v>621</v>
      </c>
      <c r="S24" s="28"/>
    </row>
    <row r="25" spans="1:77" s="23" customFormat="1" ht="13.15" x14ac:dyDescent="0.45">
      <c r="A25" s="96">
        <v>21</v>
      </c>
      <c r="B25" s="96" t="s">
        <v>424</v>
      </c>
      <c r="C25" s="96" t="s">
        <v>622</v>
      </c>
      <c r="D25" s="96"/>
      <c r="E25" s="96" t="s">
        <v>265</v>
      </c>
      <c r="F25" s="96" t="s">
        <v>585</v>
      </c>
      <c r="G25" s="172">
        <v>14.79</v>
      </c>
      <c r="H25" s="310"/>
      <c r="I25" s="310"/>
      <c r="J25" s="311" t="s">
        <v>67</v>
      </c>
      <c r="K25" s="156" t="s">
        <v>49</v>
      </c>
      <c r="L25" s="156"/>
      <c r="M25" s="312"/>
      <c r="N25" s="156" t="s">
        <v>620</v>
      </c>
      <c r="O25" s="156"/>
      <c r="P25" s="156" t="s">
        <v>587</v>
      </c>
      <c r="Q25" s="156"/>
      <c r="R25" s="28" t="s">
        <v>621</v>
      </c>
      <c r="S25" s="28"/>
    </row>
    <row r="26" spans="1:77" s="23" customFormat="1" ht="13.15" x14ac:dyDescent="0.45">
      <c r="A26" s="96">
        <v>22</v>
      </c>
      <c r="B26" s="96" t="s">
        <v>424</v>
      </c>
      <c r="C26" s="96" t="s">
        <v>623</v>
      </c>
      <c r="D26" s="96"/>
      <c r="E26" s="96" t="s">
        <v>265</v>
      </c>
      <c r="F26" s="96" t="s">
        <v>585</v>
      </c>
      <c r="G26" s="172">
        <v>4.04</v>
      </c>
      <c r="H26" s="310"/>
      <c r="I26" s="310"/>
      <c r="J26" s="311" t="s">
        <v>67</v>
      </c>
      <c r="K26" s="156" t="s">
        <v>49</v>
      </c>
      <c r="L26" s="156"/>
      <c r="M26" s="312"/>
      <c r="N26" s="156" t="s">
        <v>624</v>
      </c>
      <c r="O26" s="156"/>
      <c r="P26" s="156" t="s">
        <v>587</v>
      </c>
      <c r="Q26" s="156"/>
      <c r="R26" s="28" t="s">
        <v>621</v>
      </c>
      <c r="S26" s="28"/>
    </row>
    <row r="27" spans="1:77" s="96" customFormat="1" ht="13.5" customHeight="1" x14ac:dyDescent="0.45">
      <c r="A27" s="96">
        <v>23</v>
      </c>
      <c r="B27" s="96" t="s">
        <v>424</v>
      </c>
      <c r="C27" s="161" t="s">
        <v>625</v>
      </c>
      <c r="D27" s="156" t="s">
        <v>597</v>
      </c>
      <c r="E27" s="96" t="s">
        <v>626</v>
      </c>
      <c r="G27" s="172">
        <v>13</v>
      </c>
      <c r="H27" s="170"/>
      <c r="I27" s="170"/>
      <c r="J27" s="171"/>
      <c r="K27" s="156" t="s">
        <v>49</v>
      </c>
      <c r="L27" s="312" t="s">
        <v>627</v>
      </c>
      <c r="M27" s="312"/>
      <c r="O27" s="159"/>
      <c r="R27" s="23"/>
      <c r="S27" s="157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160"/>
    </row>
    <row r="28" spans="1:77" s="96" customFormat="1" ht="13.5" customHeight="1" x14ac:dyDescent="0.45">
      <c r="A28" s="96">
        <v>24</v>
      </c>
      <c r="B28" s="96" t="s">
        <v>628</v>
      </c>
      <c r="C28" s="96" t="s">
        <v>629</v>
      </c>
      <c r="D28" s="156" t="s">
        <v>597</v>
      </c>
      <c r="E28" s="96" t="s">
        <v>630</v>
      </c>
      <c r="G28" s="172">
        <v>20</v>
      </c>
      <c r="H28" s="170"/>
      <c r="I28" s="170"/>
      <c r="J28" s="171"/>
      <c r="K28" s="156" t="s">
        <v>49</v>
      </c>
      <c r="L28" s="312" t="s">
        <v>31</v>
      </c>
      <c r="M28" s="312"/>
      <c r="O28" s="159"/>
      <c r="R28" s="23"/>
      <c r="S28" s="157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160"/>
    </row>
    <row r="29" spans="1:77" s="96" customFormat="1" ht="13.5" customHeight="1" x14ac:dyDescent="0.45">
      <c r="A29" s="96">
        <v>25</v>
      </c>
      <c r="B29" s="96" t="s">
        <v>628</v>
      </c>
      <c r="C29" s="96" t="s">
        <v>631</v>
      </c>
      <c r="D29" s="156" t="s">
        <v>597</v>
      </c>
      <c r="E29" s="96" t="s">
        <v>630</v>
      </c>
      <c r="G29" s="172">
        <v>30</v>
      </c>
      <c r="H29" s="170"/>
      <c r="I29" s="170"/>
      <c r="J29" s="171"/>
      <c r="K29" s="156" t="s">
        <v>49</v>
      </c>
      <c r="L29" s="312" t="s">
        <v>31</v>
      </c>
      <c r="M29" s="312"/>
      <c r="O29" s="159"/>
      <c r="R29" s="23"/>
      <c r="S29" s="157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160"/>
    </row>
    <row r="30" spans="1:77" s="96" customFormat="1" ht="13.5" customHeight="1" x14ac:dyDescent="0.45">
      <c r="A30" s="96">
        <v>26</v>
      </c>
      <c r="B30" s="96" t="s">
        <v>628</v>
      </c>
      <c r="C30" s="96" t="s">
        <v>632</v>
      </c>
      <c r="D30" s="156" t="s">
        <v>206</v>
      </c>
      <c r="E30" s="96" t="s">
        <v>630</v>
      </c>
      <c r="G30" s="172">
        <v>30</v>
      </c>
      <c r="H30" s="170"/>
      <c r="I30" s="170"/>
      <c r="J30" s="171"/>
      <c r="K30" s="156" t="s">
        <v>633</v>
      </c>
      <c r="L30" s="312" t="s">
        <v>634</v>
      </c>
      <c r="M30" s="312"/>
      <c r="O30" s="159"/>
      <c r="R30" s="23"/>
      <c r="S30" s="157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160"/>
    </row>
    <row r="31" spans="1:77" s="124" customFormat="1" ht="17.25" x14ac:dyDescent="0.45">
      <c r="A31" s="313"/>
      <c r="B31" s="268"/>
      <c r="C31" s="268"/>
      <c r="D31" s="268"/>
      <c r="E31" s="268"/>
      <c r="F31" s="268" t="s">
        <v>426</v>
      </c>
      <c r="G31" s="314">
        <f>SUM(G5:G30)</f>
        <v>154.72</v>
      </c>
      <c r="H31" s="314">
        <f>SUM(H11:H30)</f>
        <v>349034.0445930881</v>
      </c>
      <c r="I31" s="314">
        <f>SUM(I11:I30)</f>
        <v>3757002.4559999998</v>
      </c>
      <c r="J31" s="268"/>
      <c r="K31" s="268"/>
      <c r="L31" s="268"/>
      <c r="M31" s="270"/>
      <c r="N31" s="313"/>
      <c r="O31" s="313"/>
      <c r="P31" s="313"/>
      <c r="Q31" s="313"/>
      <c r="R31" s="123"/>
      <c r="S31" s="123"/>
    </row>
    <row r="32" spans="1:77" x14ac:dyDescent="0.45">
      <c r="Q32"/>
    </row>
    <row r="33" spans="17:17" x14ac:dyDescent="0.45">
      <c r="Q33"/>
    </row>
    <row r="34" spans="17:17" x14ac:dyDescent="0.45">
      <c r="Q34"/>
    </row>
    <row r="35" spans="17:17" x14ac:dyDescent="0.45">
      <c r="Q35"/>
    </row>
    <row r="36" spans="17:17" x14ac:dyDescent="0.45">
      <c r="Q36"/>
    </row>
    <row r="37" spans="17:17" x14ac:dyDescent="0.45">
      <c r="Q37"/>
    </row>
    <row r="38" spans="17:17" x14ac:dyDescent="0.45">
      <c r="Q38"/>
    </row>
    <row r="39" spans="17:17" x14ac:dyDescent="0.45">
      <c r="Q39"/>
    </row>
    <row r="40" spans="17:17" x14ac:dyDescent="0.45">
      <c r="Q40"/>
    </row>
    <row r="41" spans="17:17" x14ac:dyDescent="0.45">
      <c r="Q41"/>
    </row>
    <row r="42" spans="17:17" x14ac:dyDescent="0.45">
      <c r="Q42"/>
    </row>
    <row r="43" spans="17:17" x14ac:dyDescent="0.45">
      <c r="Q43"/>
    </row>
    <row r="44" spans="17:17" x14ac:dyDescent="0.45">
      <c r="Q44"/>
    </row>
    <row r="45" spans="17:17" x14ac:dyDescent="0.45">
      <c r="Q45"/>
    </row>
    <row r="46" spans="17:17" x14ac:dyDescent="0.45">
      <c r="Q46"/>
    </row>
    <row r="47" spans="17:17" x14ac:dyDescent="0.45">
      <c r="Q47"/>
    </row>
    <row r="48" spans="17:17" x14ac:dyDescent="0.45">
      <c r="Q48"/>
    </row>
    <row r="49" spans="17:17" x14ac:dyDescent="0.45">
      <c r="Q49"/>
    </row>
    <row r="50" spans="17:17" x14ac:dyDescent="0.45">
      <c r="Q50"/>
    </row>
    <row r="51" spans="17:17" x14ac:dyDescent="0.45">
      <c r="Q51"/>
    </row>
    <row r="52" spans="17:17" x14ac:dyDescent="0.45">
      <c r="Q52"/>
    </row>
    <row r="53" spans="17:17" x14ac:dyDescent="0.45">
      <c r="Q53"/>
    </row>
    <row r="54" spans="17:17" x14ac:dyDescent="0.45">
      <c r="Q54"/>
    </row>
    <row r="55" spans="17:17" x14ac:dyDescent="0.45">
      <c r="Q55"/>
    </row>
    <row r="56" spans="17:17" x14ac:dyDescent="0.45">
      <c r="Q56"/>
    </row>
    <row r="57" spans="17:17" x14ac:dyDescent="0.45">
      <c r="Q57"/>
    </row>
    <row r="58" spans="17:17" x14ac:dyDescent="0.45">
      <c r="Q58"/>
    </row>
    <row r="59" spans="17:17" x14ac:dyDescent="0.45">
      <c r="Q59"/>
    </row>
    <row r="60" spans="17:17" x14ac:dyDescent="0.45">
      <c r="Q60"/>
    </row>
    <row r="61" spans="17:17" x14ac:dyDescent="0.45">
      <c r="Q61"/>
    </row>
    <row r="62" spans="17:17" x14ac:dyDescent="0.45">
      <c r="Q62"/>
    </row>
    <row r="63" spans="17:17" x14ac:dyDescent="0.45">
      <c r="Q63"/>
    </row>
    <row r="64" spans="17:17" x14ac:dyDescent="0.45">
      <c r="Q64"/>
    </row>
    <row r="65" spans="17:17" x14ac:dyDescent="0.45">
      <c r="Q65"/>
    </row>
    <row r="66" spans="17:17" x14ac:dyDescent="0.45">
      <c r="Q66"/>
    </row>
    <row r="67" spans="17:17" x14ac:dyDescent="0.45">
      <c r="Q67"/>
    </row>
    <row r="68" spans="17:17" x14ac:dyDescent="0.45">
      <c r="Q68"/>
    </row>
    <row r="69" spans="17:17" x14ac:dyDescent="0.45">
      <c r="Q69"/>
    </row>
    <row r="70" spans="17:17" x14ac:dyDescent="0.45">
      <c r="Q70"/>
    </row>
    <row r="71" spans="17:17" x14ac:dyDescent="0.45">
      <c r="Q71"/>
    </row>
    <row r="72" spans="17:17" x14ac:dyDescent="0.45">
      <c r="Q72"/>
    </row>
    <row r="73" spans="17:17" x14ac:dyDescent="0.45">
      <c r="Q73"/>
    </row>
    <row r="74" spans="17:17" x14ac:dyDescent="0.45">
      <c r="Q74"/>
    </row>
    <row r="75" spans="17:17" x14ac:dyDescent="0.45">
      <c r="Q75"/>
    </row>
    <row r="76" spans="17:17" x14ac:dyDescent="0.45">
      <c r="Q76"/>
    </row>
    <row r="77" spans="17:17" x14ac:dyDescent="0.45">
      <c r="Q77"/>
    </row>
    <row r="78" spans="17:17" x14ac:dyDescent="0.45">
      <c r="Q78"/>
    </row>
    <row r="79" spans="17:17" x14ac:dyDescent="0.45">
      <c r="Q79"/>
    </row>
    <row r="80" spans="17:17" x14ac:dyDescent="0.45">
      <c r="Q80"/>
    </row>
    <row r="81" spans="17:17" x14ac:dyDescent="0.45">
      <c r="Q81"/>
    </row>
    <row r="82" spans="17:17" x14ac:dyDescent="0.45">
      <c r="Q82"/>
    </row>
    <row r="83" spans="17:17" x14ac:dyDescent="0.45">
      <c r="Q83"/>
    </row>
    <row r="84" spans="17:17" x14ac:dyDescent="0.45">
      <c r="Q84"/>
    </row>
    <row r="85" spans="17:17" x14ac:dyDescent="0.45">
      <c r="Q85"/>
    </row>
    <row r="86" spans="17:17" x14ac:dyDescent="0.45">
      <c r="Q86" s="120"/>
    </row>
  </sheetData>
  <mergeCells count="3">
    <mergeCell ref="B1:Q1"/>
    <mergeCell ref="B2:Q2"/>
    <mergeCell ref="B4:M4"/>
  </mergeCells>
  <pageMargins left="0.70866141732283472" right="0.70866141732283472" top="0.74803149606299213" bottom="0.74803149606299213" header="0.31496062992125984" footer="0.31496062992125984"/>
  <pageSetup paperSize="17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2658-FC51-4D63-8DCC-86999BA32FAE}">
  <sheetPr codeName="Hoja5"/>
  <dimension ref="A1:Q34"/>
  <sheetViews>
    <sheetView workbookViewId="0">
      <selection activeCell="C19" sqref="C19"/>
    </sheetView>
  </sheetViews>
  <sheetFormatPr baseColWidth="10" defaultColWidth="11.3984375" defaultRowHeight="14.25" x14ac:dyDescent="0.45"/>
  <cols>
    <col min="1" max="1" width="3" customWidth="1"/>
    <col min="2" max="2" width="17.73046875" customWidth="1"/>
    <col min="3" max="3" width="20.86328125" customWidth="1"/>
    <col min="4" max="4" width="29.73046875" customWidth="1"/>
    <col min="5" max="5" width="21.3984375" customWidth="1"/>
    <col min="6" max="6" width="15.59765625" customWidth="1"/>
    <col min="7" max="7" width="19.265625" customWidth="1"/>
    <col min="8" max="8" width="23.86328125" customWidth="1"/>
    <col min="9" max="9" width="12.3984375" customWidth="1"/>
    <col min="10" max="10" width="26.1328125" customWidth="1"/>
  </cols>
  <sheetData>
    <row r="1" spans="1:17" s="14" customFormat="1" ht="21.75" x14ac:dyDescent="0.45">
      <c r="A1" s="361" t="s">
        <v>0</v>
      </c>
      <c r="B1" s="361"/>
      <c r="C1" s="361"/>
      <c r="D1" s="361"/>
      <c r="E1" s="361"/>
      <c r="F1" s="361"/>
      <c r="G1" s="361"/>
      <c r="H1" s="361"/>
      <c r="I1" s="361"/>
      <c r="J1" s="361"/>
      <c r="K1" s="32"/>
      <c r="L1" s="32"/>
      <c r="M1" s="32"/>
      <c r="N1" s="32"/>
      <c r="O1" s="32"/>
      <c r="P1" s="21"/>
      <c r="Q1" s="21"/>
    </row>
    <row r="2" spans="1:17" s="14" customFormat="1" ht="15.75" customHeight="1" x14ac:dyDescent="0.45">
      <c r="A2" s="345" t="s">
        <v>635</v>
      </c>
      <c r="B2" s="345"/>
      <c r="C2" s="345"/>
      <c r="D2" s="345"/>
      <c r="E2" s="345"/>
      <c r="F2" s="345"/>
      <c r="G2" s="345"/>
      <c r="H2" s="345"/>
      <c r="I2" s="345"/>
      <c r="J2" s="345"/>
      <c r="K2" s="33"/>
      <c r="L2" s="33"/>
      <c r="M2" s="33"/>
      <c r="N2" s="33"/>
      <c r="O2" s="33"/>
      <c r="P2" s="21"/>
      <c r="Q2" s="21"/>
    </row>
    <row r="3" spans="1:17" s="14" customFormat="1" x14ac:dyDescent="0.45">
      <c r="A3" s="21"/>
      <c r="B3" s="21"/>
      <c r="C3" s="21"/>
      <c r="D3" s="21"/>
      <c r="E3" s="21"/>
      <c r="F3" s="21"/>
      <c r="G3" s="21"/>
      <c r="H3" s="21"/>
      <c r="I3" s="21"/>
      <c r="J3" s="21"/>
      <c r="K3" s="34"/>
      <c r="L3" s="21"/>
      <c r="M3" s="21"/>
      <c r="N3" s="21"/>
      <c r="O3" s="21"/>
      <c r="P3" s="21"/>
      <c r="Q3" s="21"/>
    </row>
    <row r="4" spans="1:17" s="1" customFormat="1" ht="27" customHeight="1" x14ac:dyDescent="0.35">
      <c r="A4" s="24"/>
      <c r="B4" s="19" t="s">
        <v>636</v>
      </c>
      <c r="C4" s="17" t="s">
        <v>637</v>
      </c>
      <c r="D4" s="17" t="s">
        <v>638</v>
      </c>
      <c r="E4" s="35" t="s">
        <v>639</v>
      </c>
      <c r="F4" s="17" t="s">
        <v>640</v>
      </c>
      <c r="G4" s="17" t="s">
        <v>641</v>
      </c>
      <c r="H4" s="17" t="s">
        <v>642</v>
      </c>
      <c r="I4" s="18" t="s">
        <v>643</v>
      </c>
      <c r="J4" s="18" t="s">
        <v>644</v>
      </c>
    </row>
    <row r="5" spans="1:17" s="12" customFormat="1" ht="14.25" customHeight="1" x14ac:dyDescent="0.45">
      <c r="A5" s="53"/>
      <c r="B5" s="365"/>
      <c r="C5" s="365"/>
      <c r="D5" s="365"/>
      <c r="E5" s="365"/>
      <c r="F5" s="365"/>
      <c r="G5" s="365"/>
      <c r="H5" s="365"/>
      <c r="I5" s="365"/>
      <c r="J5" s="36"/>
      <c r="K5" s="21"/>
      <c r="L5" s="21"/>
    </row>
    <row r="6" spans="1:17" s="8" customFormat="1" ht="24" customHeight="1" x14ac:dyDescent="0.45">
      <c r="A6" s="62">
        <v>1</v>
      </c>
      <c r="B6" s="58" t="s">
        <v>424</v>
      </c>
      <c r="C6" s="60" t="s">
        <v>265</v>
      </c>
      <c r="D6" s="60" t="s">
        <v>645</v>
      </c>
      <c r="E6" s="59">
        <v>1433</v>
      </c>
      <c r="F6" s="59">
        <v>77.89</v>
      </c>
      <c r="G6" s="59">
        <v>1355</v>
      </c>
      <c r="H6" s="59">
        <v>78</v>
      </c>
      <c r="I6" s="37">
        <v>60</v>
      </c>
      <c r="J6" s="38" t="s">
        <v>646</v>
      </c>
      <c r="K6" s="27"/>
      <c r="L6" s="28"/>
    </row>
    <row r="7" spans="1:17" s="8" customFormat="1" ht="24" customHeight="1" x14ac:dyDescent="0.45">
      <c r="A7" s="62">
        <v>2</v>
      </c>
      <c r="B7" s="58" t="s">
        <v>235</v>
      </c>
      <c r="C7" s="60" t="s">
        <v>282</v>
      </c>
      <c r="D7" s="60" t="s">
        <v>647</v>
      </c>
      <c r="E7" s="59">
        <v>19</v>
      </c>
      <c r="F7" s="59"/>
      <c r="G7" s="59">
        <v>19</v>
      </c>
      <c r="H7" s="59">
        <v>19</v>
      </c>
      <c r="I7" s="37"/>
      <c r="J7" s="38"/>
      <c r="K7" s="27"/>
      <c r="L7" s="28"/>
    </row>
    <row r="8" spans="1:17" s="8" customFormat="1" ht="13.15" x14ac:dyDescent="0.45">
      <c r="A8" s="62">
        <v>3</v>
      </c>
      <c r="B8" s="58" t="s">
        <v>235</v>
      </c>
      <c r="C8" s="60" t="s">
        <v>65</v>
      </c>
      <c r="D8" s="60" t="s">
        <v>244</v>
      </c>
      <c r="E8" s="31"/>
      <c r="F8" s="59"/>
      <c r="G8" s="59"/>
      <c r="H8" s="59"/>
      <c r="I8" s="37"/>
      <c r="J8" s="60"/>
      <c r="K8" s="27"/>
      <c r="L8" s="28"/>
    </row>
    <row r="9" spans="1:17" s="8" customFormat="1" ht="13.15" x14ac:dyDescent="0.45">
      <c r="A9" s="62">
        <v>4</v>
      </c>
      <c r="B9" s="58" t="s">
        <v>235</v>
      </c>
      <c r="C9" s="60" t="s">
        <v>74</v>
      </c>
      <c r="D9" s="60" t="s">
        <v>648</v>
      </c>
      <c r="E9" s="59"/>
      <c r="F9" s="60"/>
      <c r="G9" s="59"/>
      <c r="H9" s="59"/>
      <c r="I9" s="37"/>
      <c r="J9" s="60"/>
      <c r="K9" s="27"/>
      <c r="L9" s="28"/>
    </row>
    <row r="10" spans="1:17" s="8" customFormat="1" ht="13.15" x14ac:dyDescent="0.45">
      <c r="A10" s="62">
        <v>5</v>
      </c>
      <c r="B10" s="58" t="s">
        <v>235</v>
      </c>
      <c r="C10" s="60" t="s">
        <v>74</v>
      </c>
      <c r="D10" s="60" t="s">
        <v>274</v>
      </c>
      <c r="E10" s="59"/>
      <c r="F10" s="60"/>
      <c r="G10" s="59"/>
      <c r="H10" s="59"/>
      <c r="I10" s="37"/>
      <c r="J10" s="60"/>
      <c r="K10" s="27"/>
      <c r="L10" s="28"/>
    </row>
    <row r="11" spans="1:17" s="8" customFormat="1" ht="13.15" x14ac:dyDescent="0.45">
      <c r="A11" s="62">
        <v>6</v>
      </c>
      <c r="B11" s="58" t="s">
        <v>235</v>
      </c>
      <c r="C11" s="60" t="s">
        <v>287</v>
      </c>
      <c r="D11" s="60" t="s">
        <v>649</v>
      </c>
      <c r="E11" s="59"/>
      <c r="F11" s="60"/>
      <c r="G11" s="59"/>
      <c r="H11" s="59"/>
      <c r="I11" s="37"/>
      <c r="J11" s="60"/>
      <c r="K11" s="27"/>
      <c r="L11" s="28"/>
    </row>
    <row r="12" spans="1:17" s="8" customFormat="1" ht="13.15" x14ac:dyDescent="0.45">
      <c r="A12" s="62">
        <v>7</v>
      </c>
      <c r="B12" s="58" t="s">
        <v>22</v>
      </c>
      <c r="C12" s="60" t="s">
        <v>650</v>
      </c>
      <c r="D12" s="60" t="s">
        <v>651</v>
      </c>
      <c r="E12" s="59" t="s">
        <v>652</v>
      </c>
      <c r="F12" s="60"/>
      <c r="G12" s="59"/>
      <c r="H12" s="59" t="s">
        <v>652</v>
      </c>
      <c r="I12" s="37">
        <v>110</v>
      </c>
      <c r="J12" s="54"/>
    </row>
    <row r="13" spans="1:17" s="8" customFormat="1" ht="13.15" x14ac:dyDescent="0.45">
      <c r="A13" s="62">
        <v>8</v>
      </c>
      <c r="B13" s="58" t="s">
        <v>22</v>
      </c>
      <c r="C13" s="60" t="s">
        <v>653</v>
      </c>
      <c r="D13" s="60" t="s">
        <v>103</v>
      </c>
      <c r="E13" s="59">
        <v>27</v>
      </c>
      <c r="F13" s="60">
        <v>2.2999999999999998</v>
      </c>
      <c r="G13" s="59">
        <v>24</v>
      </c>
      <c r="H13" s="59"/>
      <c r="I13" s="37"/>
      <c r="J13" s="54"/>
    </row>
    <row r="14" spans="1:17" s="8" customFormat="1" ht="13.15" x14ac:dyDescent="0.45">
      <c r="A14" s="62">
        <v>9</v>
      </c>
      <c r="B14" s="58" t="s">
        <v>22</v>
      </c>
      <c r="C14" s="60" t="s">
        <v>393</v>
      </c>
      <c r="D14" s="60" t="s">
        <v>534</v>
      </c>
      <c r="E14" s="25">
        <v>70</v>
      </c>
      <c r="F14" s="26">
        <v>70</v>
      </c>
      <c r="G14" s="25">
        <v>0</v>
      </c>
      <c r="H14" s="25">
        <v>0</v>
      </c>
      <c r="I14" s="39"/>
      <c r="J14" s="54"/>
    </row>
    <row r="15" spans="1:17" s="8" customFormat="1" ht="13.15" x14ac:dyDescent="0.45">
      <c r="A15" s="62">
        <v>10</v>
      </c>
      <c r="B15" s="58" t="s">
        <v>22</v>
      </c>
      <c r="C15" s="60" t="s">
        <v>519</v>
      </c>
      <c r="D15" s="60" t="s">
        <v>654</v>
      </c>
      <c r="E15" s="25">
        <v>43</v>
      </c>
      <c r="F15" s="26">
        <v>2.6</v>
      </c>
      <c r="G15" s="25">
        <v>40</v>
      </c>
      <c r="H15" s="25">
        <v>40</v>
      </c>
      <c r="I15" s="39"/>
      <c r="J15" s="54"/>
    </row>
    <row r="16" spans="1:17" s="8" customFormat="1" ht="13.15" x14ac:dyDescent="0.45">
      <c r="A16" s="62">
        <v>11</v>
      </c>
      <c r="B16" s="58" t="s">
        <v>655</v>
      </c>
      <c r="C16" s="60" t="s">
        <v>393</v>
      </c>
      <c r="D16" s="60" t="s">
        <v>366</v>
      </c>
      <c r="E16" s="25">
        <v>242</v>
      </c>
      <c r="F16" s="26">
        <v>200</v>
      </c>
      <c r="G16" s="25">
        <v>32</v>
      </c>
      <c r="H16" s="25">
        <v>32</v>
      </c>
      <c r="I16" s="39"/>
      <c r="J16" s="54"/>
    </row>
    <row r="17" spans="1:12" s="8" customFormat="1" ht="13.15" x14ac:dyDescent="0.45">
      <c r="A17" s="62">
        <v>12</v>
      </c>
      <c r="B17" s="58" t="s">
        <v>656</v>
      </c>
      <c r="C17" s="60" t="s">
        <v>393</v>
      </c>
      <c r="D17" s="60" t="s">
        <v>397</v>
      </c>
      <c r="E17" s="25">
        <v>150</v>
      </c>
      <c r="F17" s="26">
        <v>89</v>
      </c>
      <c r="G17" s="25">
        <v>67</v>
      </c>
      <c r="H17" s="25">
        <v>67</v>
      </c>
      <c r="I17" s="39"/>
      <c r="J17" s="54"/>
    </row>
    <row r="18" spans="1:12" s="8" customFormat="1" ht="13.15" x14ac:dyDescent="0.45">
      <c r="A18" s="62">
        <v>13</v>
      </c>
      <c r="B18" s="58" t="s">
        <v>656</v>
      </c>
      <c r="C18" s="60" t="s">
        <v>657</v>
      </c>
      <c r="D18" s="60" t="s">
        <v>657</v>
      </c>
      <c r="E18" s="59">
        <v>2.7</v>
      </c>
      <c r="F18" s="60"/>
      <c r="G18" s="59">
        <v>1</v>
      </c>
      <c r="H18" s="59">
        <v>1.7</v>
      </c>
      <c r="I18" s="37"/>
      <c r="J18" s="54"/>
    </row>
    <row r="19" spans="1:12" s="8" customFormat="1" ht="13.15" x14ac:dyDescent="0.45">
      <c r="A19" s="62">
        <v>14</v>
      </c>
      <c r="B19" s="58" t="s">
        <v>656</v>
      </c>
      <c r="C19" s="60" t="s">
        <v>451</v>
      </c>
      <c r="D19" s="60" t="s">
        <v>658</v>
      </c>
      <c r="E19" s="59">
        <v>40</v>
      </c>
      <c r="F19" s="60"/>
      <c r="G19" s="59">
        <v>40</v>
      </c>
      <c r="H19" s="59">
        <v>40</v>
      </c>
      <c r="I19" s="37"/>
      <c r="J19" s="54"/>
    </row>
    <row r="20" spans="1:12" s="8" customFormat="1" ht="13.15" x14ac:dyDescent="0.45">
      <c r="A20" s="62">
        <v>15</v>
      </c>
      <c r="B20" s="58" t="s">
        <v>298</v>
      </c>
      <c r="C20" s="60" t="s">
        <v>659</v>
      </c>
      <c r="D20" s="60" t="s">
        <v>660</v>
      </c>
      <c r="E20" s="59">
        <v>21</v>
      </c>
      <c r="F20" s="60"/>
      <c r="G20" s="59">
        <v>21</v>
      </c>
      <c r="H20" s="59">
        <v>21</v>
      </c>
      <c r="I20" s="37">
        <v>110</v>
      </c>
      <c r="J20" s="54" t="s">
        <v>661</v>
      </c>
    </row>
    <row r="21" spans="1:12" s="8" customFormat="1" ht="13.15" x14ac:dyDescent="0.45">
      <c r="A21" s="62">
        <v>16</v>
      </c>
      <c r="B21" s="58" t="s">
        <v>662</v>
      </c>
      <c r="C21" s="60" t="s">
        <v>177</v>
      </c>
      <c r="D21" s="60" t="s">
        <v>663</v>
      </c>
      <c r="E21" s="59">
        <v>72</v>
      </c>
      <c r="F21" s="60"/>
      <c r="G21" s="59">
        <v>72</v>
      </c>
      <c r="H21" s="59">
        <v>72</v>
      </c>
      <c r="I21" s="37"/>
      <c r="J21" s="54"/>
    </row>
    <row r="22" spans="1:12" s="8" customFormat="1" ht="13.15" x14ac:dyDescent="0.45">
      <c r="A22" s="62">
        <v>17</v>
      </c>
      <c r="B22" s="58" t="s">
        <v>664</v>
      </c>
      <c r="C22" s="60" t="s">
        <v>665</v>
      </c>
      <c r="D22" s="60" t="s">
        <v>666</v>
      </c>
      <c r="E22" s="59">
        <v>65</v>
      </c>
      <c r="F22" s="60">
        <v>5</v>
      </c>
      <c r="G22" s="59">
        <v>60</v>
      </c>
      <c r="H22" s="59"/>
      <c r="I22" s="37"/>
      <c r="J22" s="54"/>
    </row>
    <row r="23" spans="1:12" s="8" customFormat="1" ht="13.15" x14ac:dyDescent="0.45">
      <c r="A23" s="62">
        <v>18</v>
      </c>
      <c r="B23" s="58" t="s">
        <v>667</v>
      </c>
      <c r="C23" s="60" t="s">
        <v>668</v>
      </c>
      <c r="D23" s="60" t="s">
        <v>669</v>
      </c>
      <c r="E23" s="59">
        <v>100</v>
      </c>
      <c r="F23" s="60">
        <v>0</v>
      </c>
      <c r="G23" s="59">
        <v>100</v>
      </c>
      <c r="H23" s="59">
        <v>100</v>
      </c>
      <c r="I23" s="40"/>
      <c r="J23" s="54"/>
    </row>
    <row r="24" spans="1:12" s="8" customFormat="1" ht="13.15" x14ac:dyDescent="0.45">
      <c r="A24" s="62">
        <v>19</v>
      </c>
      <c r="B24" s="58" t="s">
        <v>667</v>
      </c>
      <c r="C24" s="60" t="s">
        <v>668</v>
      </c>
      <c r="D24" s="60" t="s">
        <v>670</v>
      </c>
      <c r="E24" s="59">
        <v>15</v>
      </c>
      <c r="F24" s="60">
        <v>5</v>
      </c>
      <c r="G24" s="59">
        <v>10</v>
      </c>
      <c r="H24" s="59">
        <v>6</v>
      </c>
      <c r="I24" s="40"/>
      <c r="J24" s="54"/>
    </row>
    <row r="25" spans="1:12" s="8" customFormat="1" ht="13.15" x14ac:dyDescent="0.45">
      <c r="A25" s="62">
        <v>20</v>
      </c>
      <c r="B25" s="58" t="s">
        <v>671</v>
      </c>
      <c r="C25" s="60" t="s">
        <v>668</v>
      </c>
      <c r="D25" s="60" t="s">
        <v>672</v>
      </c>
      <c r="E25" s="59">
        <v>56</v>
      </c>
      <c r="F25" s="60">
        <v>20</v>
      </c>
      <c r="G25" s="59">
        <v>36</v>
      </c>
      <c r="H25" s="59">
        <v>56</v>
      </c>
      <c r="I25" s="40"/>
      <c r="J25" s="54"/>
    </row>
    <row r="26" spans="1:12" s="8" customFormat="1" ht="13.15" x14ac:dyDescent="0.45">
      <c r="A26" s="62">
        <v>21</v>
      </c>
      <c r="B26" s="58" t="s">
        <v>673</v>
      </c>
      <c r="C26" s="60" t="s">
        <v>668</v>
      </c>
      <c r="D26" s="60" t="s">
        <v>674</v>
      </c>
      <c r="E26" s="59">
        <v>40</v>
      </c>
      <c r="F26" s="60">
        <v>50</v>
      </c>
      <c r="G26" s="59">
        <v>40</v>
      </c>
      <c r="H26" s="59">
        <v>15</v>
      </c>
      <c r="I26" s="40"/>
      <c r="J26" s="54"/>
    </row>
    <row r="27" spans="1:12" s="8" customFormat="1" ht="13.15" x14ac:dyDescent="0.45">
      <c r="A27" s="62">
        <v>22</v>
      </c>
      <c r="B27" s="58" t="s">
        <v>673</v>
      </c>
      <c r="C27" s="60" t="s">
        <v>282</v>
      </c>
      <c r="D27" s="60" t="s">
        <v>675</v>
      </c>
      <c r="E27" s="59">
        <v>14.6</v>
      </c>
      <c r="F27" s="60"/>
      <c r="G27" s="59">
        <v>15</v>
      </c>
      <c r="H27" s="59">
        <v>15</v>
      </c>
      <c r="I27" s="37"/>
      <c r="J27" s="54" t="s">
        <v>676</v>
      </c>
    </row>
    <row r="28" spans="1:12" s="8" customFormat="1" ht="13.15" x14ac:dyDescent="0.45">
      <c r="A28" s="62">
        <v>23</v>
      </c>
      <c r="B28" s="58" t="s">
        <v>677</v>
      </c>
      <c r="C28" s="60" t="s">
        <v>678</v>
      </c>
      <c r="D28" s="60" t="s">
        <v>679</v>
      </c>
      <c r="E28" s="59">
        <v>114</v>
      </c>
      <c r="F28" s="60">
        <v>0</v>
      </c>
      <c r="G28" s="59">
        <v>114</v>
      </c>
      <c r="H28" s="59"/>
      <c r="I28" s="37"/>
      <c r="J28" s="54"/>
    </row>
    <row r="29" spans="1:12" s="8" customFormat="1" ht="13.15" x14ac:dyDescent="0.45">
      <c r="A29" s="62">
        <v>24</v>
      </c>
      <c r="B29" s="58" t="s">
        <v>673</v>
      </c>
      <c r="C29" s="60" t="s">
        <v>680</v>
      </c>
      <c r="D29" s="60" t="s">
        <v>681</v>
      </c>
      <c r="E29" s="59">
        <v>10</v>
      </c>
      <c r="F29" s="60">
        <v>0</v>
      </c>
      <c r="G29" s="59">
        <v>10</v>
      </c>
      <c r="H29" s="59">
        <v>10</v>
      </c>
      <c r="I29" s="37"/>
      <c r="J29" s="54"/>
    </row>
    <row r="30" spans="1:12" s="8" customFormat="1" ht="13.15" x14ac:dyDescent="0.45">
      <c r="A30" s="62">
        <v>25</v>
      </c>
      <c r="B30" s="58" t="s">
        <v>292</v>
      </c>
      <c r="C30" s="60" t="s">
        <v>294</v>
      </c>
      <c r="D30" s="60" t="s">
        <v>293</v>
      </c>
      <c r="E30" s="59"/>
      <c r="F30" s="60"/>
      <c r="G30" s="59"/>
      <c r="H30" s="59"/>
      <c r="I30" s="37"/>
      <c r="J30" s="54"/>
    </row>
    <row r="31" spans="1:12" s="30" customFormat="1" ht="17.25" x14ac:dyDescent="0.45">
      <c r="A31" s="41"/>
      <c r="B31" s="42"/>
      <c r="C31" s="42"/>
      <c r="D31" s="43"/>
      <c r="E31" s="44"/>
      <c r="F31" s="43"/>
      <c r="G31" s="44"/>
      <c r="H31" s="44"/>
      <c r="I31" s="44"/>
      <c r="J31" s="45"/>
      <c r="K31" s="29"/>
      <c r="L31" s="29"/>
    </row>
    <row r="33" spans="3:3" x14ac:dyDescent="0.45">
      <c r="C33" s="31"/>
    </row>
    <row r="34" spans="3:3" x14ac:dyDescent="0.45">
      <c r="C34" s="31"/>
    </row>
  </sheetData>
  <mergeCells count="3">
    <mergeCell ref="A1:J1"/>
    <mergeCell ref="A2:J2"/>
    <mergeCell ref="B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1E5-1042-45A2-B36A-585245E2EFC4}">
  <sheetPr codeName="Hoja6"/>
  <dimension ref="A1:F43"/>
  <sheetViews>
    <sheetView workbookViewId="0">
      <selection activeCell="E11" sqref="E11"/>
    </sheetView>
  </sheetViews>
  <sheetFormatPr baseColWidth="10" defaultColWidth="11.3984375" defaultRowHeight="14.25" x14ac:dyDescent="0.45"/>
  <cols>
    <col min="1" max="1" width="41.265625" customWidth="1"/>
    <col min="2" max="2" width="13.3984375" customWidth="1"/>
    <col min="3" max="3" width="12.59765625" customWidth="1"/>
  </cols>
  <sheetData>
    <row r="1" spans="1:4" ht="14.65" thickBot="1" x14ac:dyDescent="0.5">
      <c r="A1" s="366" t="s">
        <v>682</v>
      </c>
      <c r="B1" s="366"/>
      <c r="C1" s="366"/>
    </row>
    <row r="2" spans="1:4" x14ac:dyDescent="0.45">
      <c r="A2" s="367" t="s">
        <v>683</v>
      </c>
      <c r="B2" s="369" t="s">
        <v>684</v>
      </c>
      <c r="C2" s="370"/>
    </row>
    <row r="3" spans="1:4" x14ac:dyDescent="0.45">
      <c r="A3" s="368"/>
      <c r="B3" s="68" t="s">
        <v>685</v>
      </c>
      <c r="C3" s="67" t="s">
        <v>686</v>
      </c>
    </row>
    <row r="4" spans="1:4" ht="12.75" customHeight="1" x14ac:dyDescent="0.5">
      <c r="A4" s="46" t="s">
        <v>292</v>
      </c>
      <c r="B4" s="47"/>
      <c r="C4" s="66"/>
    </row>
    <row r="5" spans="1:4" x14ac:dyDescent="0.45">
      <c r="A5" s="77" t="s">
        <v>480</v>
      </c>
      <c r="B5" s="78">
        <v>823693</v>
      </c>
      <c r="C5" s="48">
        <f>B5/B43</f>
        <v>8.3610916253601848E-3</v>
      </c>
    </row>
    <row r="6" spans="1:4" x14ac:dyDescent="0.45">
      <c r="A6" s="80" t="s">
        <v>687</v>
      </c>
      <c r="B6" s="81">
        <v>240000</v>
      </c>
      <c r="C6" s="48">
        <f>B6/B43</f>
        <v>2.4361770587906471E-3</v>
      </c>
    </row>
    <row r="7" spans="1:4" x14ac:dyDescent="0.45">
      <c r="A7" s="75" t="s">
        <v>25</v>
      </c>
      <c r="B7" s="79">
        <v>4122500</v>
      </c>
      <c r="C7" s="48">
        <f>B7/B43</f>
        <v>4.184641635360184E-2</v>
      </c>
    </row>
    <row r="8" spans="1:4" x14ac:dyDescent="0.45">
      <c r="A8" s="77" t="s">
        <v>688</v>
      </c>
      <c r="B8" s="78">
        <v>194000</v>
      </c>
      <c r="C8" s="48">
        <f>B8/B43</f>
        <v>1.9692431225224395E-3</v>
      </c>
    </row>
    <row r="9" spans="1:4" x14ac:dyDescent="0.45">
      <c r="A9" s="75" t="s">
        <v>357</v>
      </c>
      <c r="B9" s="79">
        <v>143537</v>
      </c>
      <c r="C9" s="48">
        <f>B9/B43</f>
        <v>1.4570064436984712E-3</v>
      </c>
    </row>
    <row r="10" spans="1:4" x14ac:dyDescent="0.45">
      <c r="A10" s="71" t="s">
        <v>307</v>
      </c>
      <c r="B10" s="72">
        <v>622751</v>
      </c>
      <c r="C10" s="48">
        <f>B10/B43</f>
        <v>6.3213820814122254E-3</v>
      </c>
    </row>
    <row r="11" spans="1:4" x14ac:dyDescent="0.45">
      <c r="A11" s="75" t="s">
        <v>37</v>
      </c>
      <c r="B11" s="79">
        <v>2380780</v>
      </c>
      <c r="C11" s="48">
        <f>B11/B43</f>
        <v>2.416667340844832E-2</v>
      </c>
      <c r="D11" s="20"/>
    </row>
    <row r="12" spans="1:4" x14ac:dyDescent="0.45">
      <c r="A12" s="75" t="s">
        <v>689</v>
      </c>
      <c r="B12" s="79">
        <v>570597</v>
      </c>
      <c r="C12" s="48">
        <f>B12/B43</f>
        <v>5.7919805050615286E-3</v>
      </c>
      <c r="D12" s="20"/>
    </row>
    <row r="13" spans="1:4" x14ac:dyDescent="0.45">
      <c r="A13" s="71" t="s">
        <v>47</v>
      </c>
      <c r="B13" s="72">
        <v>3500000</v>
      </c>
      <c r="C13" s="48">
        <f>B13/B43</f>
        <v>3.5527582107363599E-2</v>
      </c>
    </row>
    <row r="14" spans="1:4" x14ac:dyDescent="0.45">
      <c r="A14" s="75" t="s">
        <v>65</v>
      </c>
      <c r="B14" s="76">
        <v>8068882</v>
      </c>
      <c r="C14" s="48">
        <f>B14/B43</f>
        <v>8.1905105077036633E-2</v>
      </c>
    </row>
    <row r="15" spans="1:4" x14ac:dyDescent="0.45">
      <c r="A15" s="75" t="s">
        <v>519</v>
      </c>
      <c r="B15" s="76">
        <v>731429</v>
      </c>
      <c r="C15" s="48">
        <f>B15/B43</f>
        <v>7.4245439580591004E-3</v>
      </c>
    </row>
    <row r="16" spans="1:4" x14ac:dyDescent="0.45">
      <c r="A16" s="75" t="s">
        <v>690</v>
      </c>
      <c r="B16" s="79">
        <v>4060062</v>
      </c>
      <c r="C16" s="48">
        <f>B16/B43</f>
        <v>4.1212624590281965E-2</v>
      </c>
    </row>
    <row r="17" spans="1:5" x14ac:dyDescent="0.45">
      <c r="A17" s="71" t="s">
        <v>691</v>
      </c>
      <c r="B17" s="72">
        <v>186000</v>
      </c>
      <c r="C17" s="48">
        <f>B17/B43</f>
        <v>1.8880372205627514E-3</v>
      </c>
    </row>
    <row r="18" spans="1:5" x14ac:dyDescent="0.45">
      <c r="A18" s="75" t="s">
        <v>692</v>
      </c>
      <c r="B18" s="79">
        <v>5192293</v>
      </c>
      <c r="C18" s="48">
        <f>B18/B43</f>
        <v>5.2705604537996935E-2</v>
      </c>
    </row>
    <row r="19" spans="1:5" x14ac:dyDescent="0.45">
      <c r="A19" s="75" t="s">
        <v>693</v>
      </c>
      <c r="B19" s="79">
        <v>5865700</v>
      </c>
      <c r="C19" s="48">
        <f>B19/B43</f>
        <v>5.9541182390617911E-2</v>
      </c>
    </row>
    <row r="20" spans="1:5" x14ac:dyDescent="0.45">
      <c r="A20" s="71" t="s">
        <v>694</v>
      </c>
      <c r="B20" s="72">
        <v>6221263</v>
      </c>
      <c r="C20" s="48">
        <f>B20/B43</f>
        <v>6.3150409155429493E-2</v>
      </c>
    </row>
    <row r="21" spans="1:5" x14ac:dyDescent="0.45">
      <c r="A21" s="77" t="s">
        <v>695</v>
      </c>
      <c r="B21" s="72">
        <v>336289</v>
      </c>
      <c r="C21" s="48">
        <f>B21/B43</f>
        <v>3.4135814455151996E-3</v>
      </c>
    </row>
    <row r="22" spans="1:5" x14ac:dyDescent="0.45">
      <c r="A22" s="75" t="s">
        <v>696</v>
      </c>
      <c r="B22" s="79">
        <v>3474225</v>
      </c>
      <c r="C22" s="48">
        <f>B22/B43</f>
        <v>3.5265946841987229E-2</v>
      </c>
    </row>
    <row r="23" spans="1:5" x14ac:dyDescent="0.45">
      <c r="A23" s="71" t="s">
        <v>697</v>
      </c>
      <c r="B23" s="72">
        <v>393252</v>
      </c>
      <c r="C23" s="48">
        <f>B23/B43</f>
        <v>3.9917979196814144E-3</v>
      </c>
    </row>
    <row r="24" spans="1:5" x14ac:dyDescent="0.45">
      <c r="A24" s="73" t="s">
        <v>698</v>
      </c>
      <c r="B24" s="74">
        <v>255062</v>
      </c>
      <c r="C24" s="48">
        <f>B24/B43</f>
        <v>2.58906747070525E-3</v>
      </c>
      <c r="E24" s="20"/>
    </row>
    <row r="25" spans="1:5" x14ac:dyDescent="0.45">
      <c r="A25" s="77" t="s">
        <v>699</v>
      </c>
      <c r="B25" s="72">
        <v>577044</v>
      </c>
      <c r="C25" s="48">
        <f>B25/B43</f>
        <v>5.8574223113032923E-3</v>
      </c>
    </row>
    <row r="26" spans="1:5" x14ac:dyDescent="0.45">
      <c r="A26" s="71" t="s">
        <v>700</v>
      </c>
      <c r="B26" s="72">
        <v>185000</v>
      </c>
      <c r="C26" s="48">
        <f>B26/B43</f>
        <v>1.8778864828177904E-3</v>
      </c>
    </row>
    <row r="27" spans="1:5" x14ac:dyDescent="0.45">
      <c r="A27" s="75" t="s">
        <v>265</v>
      </c>
      <c r="B27" s="79">
        <v>8485007</v>
      </c>
      <c r="C27" s="48">
        <f>B27/B43</f>
        <v>8.6129080821158541E-2</v>
      </c>
    </row>
    <row r="28" spans="1:5" x14ac:dyDescent="0.45">
      <c r="A28" s="71" t="s">
        <v>701</v>
      </c>
      <c r="B28" s="72">
        <v>11946476</v>
      </c>
      <c r="C28" s="48">
        <f>B28/B43</f>
        <v>0.12126554485247105</v>
      </c>
    </row>
    <row r="29" spans="1:5" x14ac:dyDescent="0.45">
      <c r="A29" s="77" t="s">
        <v>702</v>
      </c>
      <c r="B29" s="72">
        <v>160000</v>
      </c>
      <c r="C29" s="48">
        <f>B29/B43</f>
        <v>1.6241180391937647E-3</v>
      </c>
    </row>
    <row r="30" spans="1:5" x14ac:dyDescent="0.45">
      <c r="A30" s="71" t="s">
        <v>451</v>
      </c>
      <c r="B30" s="72">
        <v>936310</v>
      </c>
      <c r="C30" s="48">
        <f>B30/B43</f>
        <v>9.5042372579844606E-3</v>
      </c>
    </row>
    <row r="31" spans="1:5" x14ac:dyDescent="0.45">
      <c r="A31" s="71" t="s">
        <v>74</v>
      </c>
      <c r="B31" s="72">
        <v>238767</v>
      </c>
      <c r="C31" s="48">
        <f>B31/B43</f>
        <v>2.4236611991511102E-3</v>
      </c>
    </row>
    <row r="32" spans="1:5" x14ac:dyDescent="0.45">
      <c r="A32" s="71" t="s">
        <v>703</v>
      </c>
      <c r="B32" s="72">
        <v>890231</v>
      </c>
      <c r="C32" s="48">
        <f>B32/B43</f>
        <v>9.0365014134344019E-3</v>
      </c>
    </row>
    <row r="33" spans="1:6" x14ac:dyDescent="0.45">
      <c r="A33" s="77" t="s">
        <v>704</v>
      </c>
      <c r="B33" s="72">
        <v>416640</v>
      </c>
      <c r="C33" s="48">
        <f>B33/B43</f>
        <v>4.2292033740605629E-3</v>
      </c>
      <c r="F33" s="49"/>
    </row>
    <row r="34" spans="1:6" x14ac:dyDescent="0.45">
      <c r="A34" s="75" t="s">
        <v>141</v>
      </c>
      <c r="B34" s="79">
        <v>5730906</v>
      </c>
      <c r="C34" s="48">
        <f>B34/B43</f>
        <v>5.8172923847023633E-2</v>
      </c>
      <c r="F34" s="49"/>
    </row>
    <row r="35" spans="1:6" x14ac:dyDescent="0.45">
      <c r="A35" s="71" t="s">
        <v>705</v>
      </c>
      <c r="B35" s="72">
        <v>697391</v>
      </c>
      <c r="C35" s="48">
        <f>B35/B43</f>
        <v>7.0790331466961173E-3</v>
      </c>
      <c r="F35" s="49"/>
    </row>
    <row r="36" spans="1:6" x14ac:dyDescent="0.45">
      <c r="A36" s="71" t="s">
        <v>408</v>
      </c>
      <c r="B36" s="72"/>
      <c r="C36" s="48">
        <f>B36/B43</f>
        <v>0</v>
      </c>
      <c r="F36" s="49"/>
    </row>
    <row r="37" spans="1:6" x14ac:dyDescent="0.45">
      <c r="A37" s="75" t="s">
        <v>294</v>
      </c>
      <c r="B37" s="79">
        <v>2163635</v>
      </c>
      <c r="C37" s="48">
        <f>B37/B43</f>
        <v>2.1962491460818755E-2</v>
      </c>
      <c r="F37" s="49"/>
    </row>
    <row r="38" spans="1:6" x14ac:dyDescent="0.45">
      <c r="A38" s="71" t="s">
        <v>157</v>
      </c>
      <c r="B38" s="72">
        <v>1669049</v>
      </c>
      <c r="C38" s="48">
        <f>B38/B43</f>
        <v>1.694207868248946E-2</v>
      </c>
      <c r="F38" s="49"/>
    </row>
    <row r="39" spans="1:6" x14ac:dyDescent="0.45">
      <c r="A39" s="75" t="s">
        <v>177</v>
      </c>
      <c r="B39" s="79">
        <v>6613488</v>
      </c>
      <c r="C39" s="48">
        <f>B39/B43</f>
        <v>6.713178226744683E-2</v>
      </c>
      <c r="F39" s="49"/>
    </row>
    <row r="40" spans="1:6" x14ac:dyDescent="0.45">
      <c r="A40" s="71" t="s">
        <v>706</v>
      </c>
      <c r="B40" s="72">
        <v>1422697</v>
      </c>
      <c r="C40" s="48">
        <f>B40/B43</f>
        <v>1.444142413754282E-2</v>
      </c>
      <c r="F40" s="49"/>
    </row>
    <row r="41" spans="1:6" x14ac:dyDescent="0.45">
      <c r="A41" s="75" t="s">
        <v>282</v>
      </c>
      <c r="B41" s="79">
        <v>1000051</v>
      </c>
      <c r="C41" s="48">
        <f>B41/B43</f>
        <v>1.0151255432586022E-2</v>
      </c>
      <c r="F41" s="49"/>
    </row>
    <row r="42" spans="1:6" x14ac:dyDescent="0.45">
      <c r="A42" s="71" t="s">
        <v>206</v>
      </c>
      <c r="B42" s="72">
        <v>8000000</v>
      </c>
      <c r="C42" s="48">
        <f>B42/B43</f>
        <v>8.1205901959688229E-2</v>
      </c>
      <c r="F42" s="49"/>
    </row>
    <row r="43" spans="1:6" x14ac:dyDescent="0.45">
      <c r="A43" s="50" t="s">
        <v>707</v>
      </c>
      <c r="B43" s="69">
        <f>SUM(B5:B42)</f>
        <v>98515007</v>
      </c>
      <c r="C43" s="70">
        <f>SUM(C5:C42)</f>
        <v>0.99999999999999989</v>
      </c>
    </row>
  </sheetData>
  <sortState xmlns:xlrd2="http://schemas.microsoft.com/office/spreadsheetml/2017/richdata2" ref="A5:A42">
    <sortCondition ref="A5:A42"/>
  </sortState>
  <mergeCells count="3">
    <mergeCell ref="A1:C1"/>
    <mergeCell ref="A2:A3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8571-3092-41CD-BA10-8D5C330CA778}">
  <sheetPr codeName="Hoja7"/>
  <dimension ref="A1:O11"/>
  <sheetViews>
    <sheetView zoomScale="110" zoomScaleNormal="110" workbookViewId="0">
      <selection activeCell="F10" sqref="F10"/>
    </sheetView>
  </sheetViews>
  <sheetFormatPr baseColWidth="10" defaultColWidth="11.3984375" defaultRowHeight="14.25" x14ac:dyDescent="0.45"/>
  <cols>
    <col min="1" max="1" width="3" style="181" customWidth="1"/>
    <col min="2" max="2" width="17.73046875" customWidth="1"/>
    <col min="3" max="3" width="15" customWidth="1"/>
    <col min="4" max="4" width="40.73046875" customWidth="1"/>
    <col min="5" max="5" width="21" customWidth="1"/>
    <col min="6" max="6" width="14" customWidth="1"/>
    <col min="7" max="7" width="13.265625" customWidth="1"/>
    <col min="8" max="8" width="13.73046875" customWidth="1"/>
    <col min="9" max="9" width="9.59765625" customWidth="1"/>
  </cols>
  <sheetData>
    <row r="1" spans="1:15" s="14" customFormat="1" ht="21.75" x14ac:dyDescent="0.45">
      <c r="A1" s="15"/>
      <c r="B1" s="361" t="s">
        <v>0</v>
      </c>
      <c r="C1" s="361"/>
      <c r="D1" s="361"/>
      <c r="E1" s="361"/>
      <c r="F1" s="361"/>
      <c r="G1" s="361"/>
      <c r="H1" s="361"/>
      <c r="I1" s="361"/>
      <c r="J1" s="21"/>
      <c r="K1" s="21"/>
    </row>
    <row r="2" spans="1:15" s="14" customFormat="1" ht="15.75" customHeight="1" x14ac:dyDescent="0.45">
      <c r="A2" s="15"/>
      <c r="B2" s="371" t="s">
        <v>708</v>
      </c>
      <c r="C2" s="371"/>
      <c r="D2" s="371"/>
      <c r="E2" s="371"/>
      <c r="F2" s="371"/>
      <c r="G2" s="371"/>
      <c r="H2" s="371"/>
      <c r="I2" s="371"/>
      <c r="J2" s="21"/>
      <c r="K2" s="21"/>
    </row>
    <row r="3" spans="1:15" s="1" customFormat="1" ht="13.15" x14ac:dyDescent="0.35">
      <c r="A3" s="335"/>
      <c r="B3" s="51" t="s">
        <v>636</v>
      </c>
      <c r="C3" s="16" t="s">
        <v>709</v>
      </c>
      <c r="D3" s="16" t="s">
        <v>638</v>
      </c>
      <c r="E3" s="16" t="s">
        <v>710</v>
      </c>
      <c r="F3" s="16" t="s">
        <v>711</v>
      </c>
      <c r="G3" s="16" t="s">
        <v>712</v>
      </c>
      <c r="H3" s="16" t="s">
        <v>713</v>
      </c>
      <c r="I3" s="330" t="s">
        <v>714</v>
      </c>
    </row>
    <row r="4" spans="1:15" s="12" customFormat="1" ht="13.15" x14ac:dyDescent="0.45">
      <c r="A4" s="64"/>
      <c r="B4" s="372"/>
      <c r="C4" s="372"/>
      <c r="D4" s="372"/>
      <c r="E4" s="372"/>
      <c r="F4" s="372"/>
      <c r="G4" s="372"/>
      <c r="H4" s="372"/>
      <c r="I4" s="373"/>
      <c r="J4" s="21"/>
      <c r="K4" s="21"/>
    </row>
    <row r="5" spans="1:15" s="8" customFormat="1" ht="13.15" x14ac:dyDescent="0.35">
      <c r="A5" s="83">
        <v>1</v>
      </c>
      <c r="B5" s="56" t="s">
        <v>22</v>
      </c>
      <c r="C5" s="23" t="s">
        <v>114</v>
      </c>
      <c r="D5" s="63" t="s">
        <v>103</v>
      </c>
      <c r="E5" s="55" t="s">
        <v>715</v>
      </c>
      <c r="F5" s="55" t="s">
        <v>520</v>
      </c>
      <c r="G5" s="57">
        <f>H5/10.764</f>
        <v>6924.4704570791528</v>
      </c>
      <c r="H5" s="333">
        <v>74535</v>
      </c>
      <c r="I5" s="332">
        <v>2023</v>
      </c>
      <c r="J5" s="27"/>
      <c r="K5" s="28"/>
    </row>
    <row r="6" spans="1:15" s="8" customFormat="1" ht="13.15" x14ac:dyDescent="0.35">
      <c r="A6" s="83">
        <v>2</v>
      </c>
      <c r="B6" s="58" t="s">
        <v>22</v>
      </c>
      <c r="C6" s="61" t="s">
        <v>114</v>
      </c>
      <c r="D6" s="61" t="s">
        <v>103</v>
      </c>
      <c r="E6" s="59" t="s">
        <v>715</v>
      </c>
      <c r="F6" s="60" t="s">
        <v>522</v>
      </c>
      <c r="G6" s="59">
        <f>H6/10.764</f>
        <v>6924.4704570791528</v>
      </c>
      <c r="H6" s="334">
        <v>74535</v>
      </c>
      <c r="I6" s="332">
        <v>2023</v>
      </c>
    </row>
    <row r="7" spans="1:15" s="8" customFormat="1" ht="13.15" x14ac:dyDescent="0.35">
      <c r="A7" s="83">
        <v>3</v>
      </c>
      <c r="B7" s="58" t="s">
        <v>22</v>
      </c>
      <c r="C7" s="61" t="s">
        <v>141</v>
      </c>
      <c r="D7" s="61" t="s">
        <v>716</v>
      </c>
      <c r="E7" s="59" t="s">
        <v>715</v>
      </c>
      <c r="F7" s="60" t="s">
        <v>717</v>
      </c>
      <c r="G7" s="59">
        <f>H7/10.764</f>
        <v>23225.566703827575</v>
      </c>
      <c r="H7" s="334">
        <v>250000</v>
      </c>
      <c r="I7" s="332" t="s">
        <v>718</v>
      </c>
    </row>
    <row r="8" spans="1:15" s="136" customFormat="1" ht="13.15" x14ac:dyDescent="0.45">
      <c r="A8" s="103">
        <v>4</v>
      </c>
      <c r="B8" s="96" t="s">
        <v>22</v>
      </c>
      <c r="C8" s="96" t="s">
        <v>408</v>
      </c>
      <c r="D8" s="178" t="s">
        <v>237</v>
      </c>
      <c r="E8" s="96"/>
      <c r="F8" s="60" t="s">
        <v>719</v>
      </c>
      <c r="G8" s="97">
        <v>3600</v>
      </c>
      <c r="H8" s="331"/>
      <c r="I8" s="97" t="s">
        <v>720</v>
      </c>
      <c r="J8" s="294"/>
      <c r="K8" s="294"/>
      <c r="L8" s="294"/>
      <c r="M8" s="294"/>
      <c r="N8" s="328"/>
      <c r="O8" s="329"/>
    </row>
    <row r="9" spans="1:15" s="136" customFormat="1" ht="13.15" x14ac:dyDescent="0.45">
      <c r="A9" s="103">
        <v>5</v>
      </c>
      <c r="B9" s="96" t="s">
        <v>22</v>
      </c>
      <c r="C9" s="96" t="s">
        <v>408</v>
      </c>
      <c r="D9" s="178" t="s">
        <v>237</v>
      </c>
      <c r="E9" s="96"/>
      <c r="F9" s="60" t="s">
        <v>721</v>
      </c>
      <c r="G9" s="97">
        <v>5000</v>
      </c>
      <c r="H9" s="331"/>
      <c r="I9" s="97" t="s">
        <v>722</v>
      </c>
      <c r="J9" s="294"/>
      <c r="K9" s="294"/>
      <c r="L9" s="294"/>
      <c r="M9" s="294"/>
      <c r="N9" s="328"/>
      <c r="O9" s="329"/>
    </row>
    <row r="10" spans="1:15" s="8" customFormat="1" ht="13.15" x14ac:dyDescent="0.35">
      <c r="A10" s="326"/>
      <c r="C10" s="23"/>
      <c r="D10" s="23"/>
      <c r="E10" s="294"/>
      <c r="F10" s="31"/>
      <c r="G10" s="294"/>
      <c r="H10" s="294"/>
      <c r="I10" s="327"/>
    </row>
    <row r="11" spans="1:15" s="30" customFormat="1" ht="17.25" x14ac:dyDescent="0.45">
      <c r="A11" s="336"/>
      <c r="B11" s="42"/>
      <c r="C11" s="42"/>
      <c r="D11" s="43"/>
      <c r="E11" s="44"/>
      <c r="F11" s="43" t="s">
        <v>426</v>
      </c>
      <c r="G11" s="44">
        <f>SUM(G5:G7)</f>
        <v>37074.507617985881</v>
      </c>
      <c r="H11" s="44">
        <f>SUM(H5:H7)</f>
        <v>399070</v>
      </c>
      <c r="I11" s="52"/>
      <c r="J11" s="29"/>
      <c r="K11" s="29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3C5C-3E50-4699-91F7-22D5B1D669CF}">
  <dimension ref="A1"/>
  <sheetViews>
    <sheetView workbookViewId="0">
      <selection activeCell="G26" sqref="G26"/>
    </sheetView>
  </sheetViews>
  <sheetFormatPr baseColWidth="10" defaultColWidth="11.3984375" defaultRowHeight="14.25" x14ac:dyDescent="0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C6-2725-41B4-BB3E-8CA709ACDFF9}">
  <dimension ref="A1:U21"/>
  <sheetViews>
    <sheetView workbookViewId="0">
      <selection sqref="A1:XFD1048576"/>
    </sheetView>
  </sheetViews>
  <sheetFormatPr baseColWidth="10" defaultColWidth="11.3984375" defaultRowHeight="14.25" x14ac:dyDescent="0.45"/>
  <cols>
    <col min="3" max="3" width="12.3984375" customWidth="1"/>
    <col min="4" max="4" width="24.265625" customWidth="1"/>
    <col min="5" max="5" width="17.73046875" bestFit="1" customWidth="1"/>
    <col min="8" max="8" width="10.86328125" bestFit="1" customWidth="1"/>
    <col min="9" max="9" width="17.3984375" bestFit="1" customWidth="1"/>
    <col min="10" max="10" width="18.265625" bestFit="1" customWidth="1"/>
    <col min="14" max="14" width="17.59765625" customWidth="1"/>
    <col min="15" max="15" width="13.59765625" bestFit="1" customWidth="1"/>
  </cols>
  <sheetData>
    <row r="1" spans="1:21" ht="21.75" x14ac:dyDescent="0.45">
      <c r="A1" s="316" t="s">
        <v>1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</row>
    <row r="2" spans="1:21" ht="14.65" x14ac:dyDescent="0.45">
      <c r="A2" s="228"/>
      <c r="B2" s="221" t="s">
        <v>2</v>
      </c>
      <c r="C2" s="221" t="s">
        <v>3</v>
      </c>
      <c r="D2" s="89" t="s">
        <v>4</v>
      </c>
      <c r="E2" s="221" t="s">
        <v>5</v>
      </c>
      <c r="F2" s="221" t="s">
        <v>6</v>
      </c>
      <c r="G2" s="221" t="s">
        <v>7</v>
      </c>
      <c r="H2" s="121" t="s">
        <v>8</v>
      </c>
      <c r="I2" s="229" t="s">
        <v>9</v>
      </c>
      <c r="J2" s="88" t="s">
        <v>10</v>
      </c>
      <c r="K2" s="221" t="s">
        <v>11</v>
      </c>
      <c r="L2" s="221"/>
      <c r="M2" s="221" t="s">
        <v>12</v>
      </c>
      <c r="N2" s="221" t="s">
        <v>13</v>
      </c>
      <c r="O2" s="221" t="s">
        <v>14</v>
      </c>
      <c r="P2" s="230" t="s">
        <v>15</v>
      </c>
      <c r="Q2" s="221" t="s">
        <v>16</v>
      </c>
      <c r="R2" s="221" t="s">
        <v>17</v>
      </c>
      <c r="S2" s="221" t="s">
        <v>18</v>
      </c>
      <c r="T2" s="221" t="s">
        <v>19</v>
      </c>
      <c r="U2" s="121" t="s">
        <v>20</v>
      </c>
    </row>
    <row r="3" spans="1:21" x14ac:dyDescent="0.45">
      <c r="A3" s="96">
        <v>1</v>
      </c>
      <c r="B3" s="176" t="s">
        <v>22</v>
      </c>
      <c r="C3" s="176" t="s">
        <v>23</v>
      </c>
      <c r="D3" s="176" t="s">
        <v>24</v>
      </c>
      <c r="E3" s="96" t="s">
        <v>25</v>
      </c>
      <c r="F3" s="96" t="s">
        <v>26</v>
      </c>
      <c r="G3" s="231">
        <f t="shared" ref="G3" si="0">H3/10.764</f>
        <v>11167.967298402082</v>
      </c>
      <c r="H3" s="231">
        <v>120212</v>
      </c>
      <c r="I3" s="96" t="s">
        <v>717</v>
      </c>
      <c r="J3" s="103" t="s">
        <v>28</v>
      </c>
      <c r="K3" s="96" t="s">
        <v>29</v>
      </c>
      <c r="L3" s="176"/>
      <c r="M3" s="103">
        <v>10</v>
      </c>
      <c r="N3" s="96" t="s">
        <v>30</v>
      </c>
      <c r="O3" s="176" t="s">
        <v>31</v>
      </c>
      <c r="P3" s="180"/>
      <c r="Q3" s="176"/>
      <c r="R3" s="176" t="s">
        <v>32</v>
      </c>
      <c r="S3" s="103"/>
      <c r="T3" s="103" t="s">
        <v>33</v>
      </c>
      <c r="U3" s="103" t="s">
        <v>34</v>
      </c>
    </row>
    <row r="4" spans="1:21" x14ac:dyDescent="0.45">
      <c r="A4" s="96">
        <v>2</v>
      </c>
      <c r="B4" s="176"/>
      <c r="C4" s="176"/>
      <c r="D4" s="176"/>
      <c r="E4" s="96"/>
      <c r="F4" s="96"/>
      <c r="G4" s="232"/>
      <c r="H4" s="232"/>
      <c r="I4" s="96"/>
      <c r="J4" s="103"/>
      <c r="K4" s="96"/>
      <c r="L4" s="176"/>
      <c r="M4" s="103"/>
      <c r="N4" s="96"/>
      <c r="O4" s="176"/>
      <c r="P4" s="180"/>
      <c r="Q4" s="176"/>
      <c r="R4" s="176"/>
      <c r="S4" s="103"/>
      <c r="T4" s="103"/>
      <c r="U4" s="103"/>
    </row>
    <row r="5" spans="1:21" x14ac:dyDescent="0.45">
      <c r="A5" s="96">
        <v>3</v>
      </c>
      <c r="B5" s="176"/>
      <c r="C5" s="176"/>
      <c r="D5" s="176"/>
      <c r="E5" s="96"/>
      <c r="F5" s="96"/>
      <c r="G5" s="231"/>
      <c r="H5" s="232"/>
      <c r="I5" s="96"/>
      <c r="J5" s="103"/>
      <c r="K5" s="96"/>
      <c r="L5" s="176"/>
      <c r="M5" s="103"/>
      <c r="N5" s="96"/>
      <c r="O5" s="176"/>
      <c r="P5" s="180"/>
      <c r="Q5" s="176"/>
      <c r="R5" s="176"/>
      <c r="S5" s="103"/>
      <c r="T5" s="103"/>
      <c r="U5" s="103"/>
    </row>
    <row r="6" spans="1:21" x14ac:dyDescent="0.45">
      <c r="A6" s="96"/>
      <c r="B6" s="176"/>
      <c r="C6" s="176"/>
      <c r="D6" s="176"/>
      <c r="E6" s="96"/>
      <c r="F6" s="96"/>
      <c r="G6" s="231"/>
      <c r="H6" s="231"/>
      <c r="I6" s="96"/>
      <c r="J6" s="103"/>
      <c r="K6" s="96"/>
      <c r="L6" s="176"/>
      <c r="M6" s="103"/>
      <c r="N6" s="96"/>
      <c r="O6" s="176"/>
      <c r="P6" s="180"/>
      <c r="Q6" s="176"/>
      <c r="R6" s="176"/>
      <c r="S6" s="103"/>
      <c r="T6" s="103"/>
      <c r="U6" s="103"/>
    </row>
    <row r="7" spans="1:21" x14ac:dyDescent="0.45">
      <c r="A7" s="185"/>
      <c r="B7" s="4"/>
      <c r="C7" s="4"/>
      <c r="D7" s="4"/>
      <c r="E7" s="185"/>
      <c r="F7" s="185"/>
      <c r="G7" s="86"/>
      <c r="H7" s="86"/>
      <c r="I7" s="185"/>
      <c r="J7" s="164"/>
      <c r="K7" s="185"/>
      <c r="L7" s="4"/>
      <c r="M7" s="164"/>
      <c r="N7" s="169"/>
      <c r="O7" s="86"/>
      <c r="P7" s="197"/>
      <c r="Q7" s="4"/>
      <c r="R7" s="4"/>
      <c r="S7" s="164"/>
      <c r="T7" s="164"/>
      <c r="U7" s="164"/>
    </row>
    <row r="8" spans="1:21" s="14" customFormat="1" ht="21.75" x14ac:dyDescent="0.45">
      <c r="A8" s="316" t="s">
        <v>427</v>
      </c>
      <c r="B8" s="315"/>
      <c r="C8" s="315"/>
      <c r="D8" s="315"/>
      <c r="E8" s="315"/>
      <c r="F8" s="315"/>
      <c r="G8" s="315"/>
      <c r="H8" s="315"/>
      <c r="I8" s="315"/>
      <c r="J8" s="315"/>
      <c r="K8" s="315"/>
      <c r="L8" s="279"/>
      <c r="M8" s="279"/>
      <c r="N8" s="279"/>
      <c r="O8" s="279"/>
      <c r="P8" s="279"/>
      <c r="Q8" s="279"/>
      <c r="R8" s="279"/>
      <c r="S8" s="279"/>
    </row>
    <row r="9" spans="1:21" s="134" customFormat="1" ht="15" customHeight="1" x14ac:dyDescent="0.45">
      <c r="A9" s="220"/>
      <c r="B9" s="221" t="s">
        <v>2</v>
      </c>
      <c r="C9" s="221" t="s">
        <v>428</v>
      </c>
      <c r="D9" s="221" t="s">
        <v>429</v>
      </c>
      <c r="E9" s="221" t="s">
        <v>5</v>
      </c>
      <c r="F9" s="221" t="s">
        <v>430</v>
      </c>
      <c r="G9" s="121" t="s">
        <v>723</v>
      </c>
      <c r="H9" s="221" t="s">
        <v>432</v>
      </c>
      <c r="I9" s="121" t="s">
        <v>433</v>
      </c>
      <c r="J9" s="121" t="s">
        <v>16</v>
      </c>
      <c r="K9" s="221" t="s">
        <v>434</v>
      </c>
      <c r="L9" s="280"/>
      <c r="M9" s="280"/>
      <c r="N9" s="280"/>
      <c r="O9" s="280"/>
      <c r="P9" s="280"/>
      <c r="Q9" s="280"/>
      <c r="R9" s="280"/>
      <c r="S9" s="280"/>
    </row>
    <row r="10" spans="1:21" s="14" customFormat="1" ht="15" customHeight="1" x14ac:dyDescent="0.45">
      <c r="A10" s="223"/>
      <c r="B10" s="374" t="s">
        <v>21</v>
      </c>
      <c r="C10" s="374"/>
      <c r="D10" s="374"/>
      <c r="E10" s="374"/>
      <c r="F10" s="374"/>
      <c r="G10" s="374"/>
      <c r="H10" s="374"/>
      <c r="I10" s="374"/>
      <c r="J10" s="223"/>
      <c r="K10" s="224"/>
      <c r="L10" s="281"/>
      <c r="M10" s="282"/>
      <c r="N10" s="279"/>
      <c r="O10" s="279"/>
      <c r="P10" s="279"/>
      <c r="Q10" s="279"/>
      <c r="R10" s="279"/>
      <c r="S10" s="279"/>
    </row>
    <row r="11" spans="1:21" s="136" customFormat="1" ht="13.15" x14ac:dyDescent="0.35">
      <c r="A11" s="96">
        <v>1</v>
      </c>
      <c r="B11" s="96" t="s">
        <v>22</v>
      </c>
      <c r="C11" s="91" t="s">
        <v>435</v>
      </c>
      <c r="D11" s="91" t="s">
        <v>24</v>
      </c>
      <c r="E11" s="96" t="s">
        <v>25</v>
      </c>
      <c r="F11" s="97">
        <f t="shared" ref="F11:G11" si="1">H11/10.764</f>
        <v>20026.941657376443</v>
      </c>
      <c r="G11" s="97">
        <f t="shared" si="1"/>
        <v>20026.941657376443</v>
      </c>
      <c r="H11" s="97">
        <v>215570</v>
      </c>
      <c r="I11" s="97">
        <v>215570</v>
      </c>
      <c r="J11" s="97"/>
      <c r="K11" s="103" t="s">
        <v>34</v>
      </c>
      <c r="L11" s="283"/>
      <c r="M11" s="284"/>
      <c r="N11" s="284"/>
      <c r="O11" s="284"/>
    </row>
    <row r="12" spans="1:21" s="136" customFormat="1" ht="13.15" x14ac:dyDescent="0.35">
      <c r="A12" s="96"/>
      <c r="B12" s="96"/>
      <c r="C12" s="91"/>
      <c r="D12" s="91"/>
      <c r="E12" s="96"/>
      <c r="F12" s="97"/>
      <c r="G12" s="97"/>
      <c r="H12" s="97"/>
      <c r="I12" s="97"/>
      <c r="J12" s="97"/>
      <c r="K12" s="103"/>
      <c r="L12" s="283"/>
      <c r="M12" s="284"/>
      <c r="N12" s="284"/>
      <c r="O12" s="284"/>
    </row>
    <row r="17" spans="1:19" s="14" customFormat="1" ht="21.75" x14ac:dyDescent="0.45">
      <c r="A17" s="316" t="s">
        <v>724</v>
      </c>
      <c r="B17" s="315"/>
      <c r="C17" s="315"/>
      <c r="D17" s="315"/>
      <c r="E17" s="315"/>
      <c r="F17" s="315"/>
      <c r="G17" s="315"/>
      <c r="H17" s="315"/>
      <c r="I17" s="315"/>
      <c r="J17" s="315"/>
      <c r="K17" s="315"/>
      <c r="L17" s="279"/>
      <c r="M17" s="279"/>
      <c r="N17" s="279"/>
      <c r="O17" s="279"/>
      <c r="P17" s="279"/>
      <c r="Q17" s="279"/>
      <c r="R17" s="279"/>
      <c r="S17" s="279"/>
    </row>
    <row r="18" spans="1:19" s="125" customFormat="1" ht="15.75" x14ac:dyDescent="0.45">
      <c r="A18" s="251"/>
      <c r="B18" s="222" t="s">
        <v>2</v>
      </c>
      <c r="C18" s="221" t="s">
        <v>20</v>
      </c>
      <c r="D18" s="221" t="s">
        <v>428</v>
      </c>
      <c r="E18" s="221" t="s">
        <v>429</v>
      </c>
      <c r="F18" s="221" t="s">
        <v>5</v>
      </c>
      <c r="G18" s="221" t="s">
        <v>7</v>
      </c>
      <c r="H18" s="221" t="s">
        <v>8</v>
      </c>
      <c r="I18" s="221" t="s">
        <v>501</v>
      </c>
      <c r="J18" s="221" t="s">
        <v>502</v>
      </c>
      <c r="K18" s="221" t="s">
        <v>503</v>
      </c>
      <c r="L18" s="221" t="s">
        <v>504</v>
      </c>
      <c r="M18" s="221" t="s">
        <v>505</v>
      </c>
      <c r="N18" s="121" t="s">
        <v>16</v>
      </c>
      <c r="O18" s="121" t="s">
        <v>501</v>
      </c>
    </row>
    <row r="19" spans="1:19" s="14" customFormat="1" ht="18" customHeight="1" x14ac:dyDescent="0.45">
      <c r="A19" s="223"/>
      <c r="B19" s="359" t="s">
        <v>21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</row>
    <row r="20" spans="1:19" s="144" customFormat="1" ht="13.15" x14ac:dyDescent="0.35">
      <c r="A20" s="141">
        <v>1</v>
      </c>
      <c r="B20" s="141" t="s">
        <v>22</v>
      </c>
      <c r="C20" s="141" t="s">
        <v>112</v>
      </c>
      <c r="D20" s="142" t="s">
        <v>506</v>
      </c>
      <c r="E20" s="142" t="s">
        <v>507</v>
      </c>
      <c r="F20" s="141" t="s">
        <v>508</v>
      </c>
      <c r="G20" s="189">
        <f t="shared" ref="G20" si="2">I20/10.764</f>
        <v>58348.383500557415</v>
      </c>
      <c r="H20" s="189">
        <f>G20*10.764</f>
        <v>628062</v>
      </c>
      <c r="I20" s="189">
        <v>628062</v>
      </c>
      <c r="J20" s="189"/>
      <c r="K20" s="189"/>
      <c r="L20" s="191" t="s">
        <v>34</v>
      </c>
      <c r="M20" s="128"/>
      <c r="N20" s="129"/>
      <c r="O20" s="129"/>
      <c r="P20" s="143"/>
    </row>
    <row r="21" spans="1:19" s="136" customFormat="1" ht="13.15" x14ac:dyDescent="0.45">
      <c r="A21" s="96"/>
      <c r="B21" s="96"/>
      <c r="C21" s="96"/>
      <c r="D21" s="96"/>
      <c r="E21" s="96"/>
      <c r="F21" s="96"/>
      <c r="G21" s="97"/>
      <c r="H21" s="97"/>
      <c r="I21" s="97"/>
      <c r="J21" s="97"/>
      <c r="K21" s="97"/>
      <c r="L21" s="97"/>
      <c r="M21" s="97"/>
      <c r="N21" s="104"/>
      <c r="O21" s="105"/>
    </row>
  </sheetData>
  <mergeCells count="2">
    <mergeCell ref="B10:I10"/>
    <mergeCell ref="B19:O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ea6fe-52b8-4667-bb86-b2155c8c67e6">
      <Terms xmlns="http://schemas.microsoft.com/office/infopath/2007/PartnerControls"/>
    </lcf76f155ced4ddcb4097134ff3c332f>
    <TaxCatchAll xmlns="7952995f-2f24-4935-944c-2e29180cf73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D6A72E992D114C81A6EC0B8C99BA69" ma:contentTypeVersion="13" ma:contentTypeDescription="Crear nuevo documento." ma:contentTypeScope="" ma:versionID="2c5c20d7ea6bbc58773a973ee2c01520">
  <xsd:schema xmlns:xsd="http://www.w3.org/2001/XMLSchema" xmlns:xs="http://www.w3.org/2001/XMLSchema" xmlns:p="http://schemas.microsoft.com/office/2006/metadata/properties" xmlns:ns2="3edea6fe-52b8-4667-bb86-b2155c8c67e6" xmlns:ns3="7952995f-2f24-4935-944c-2e29180cf736" targetNamespace="http://schemas.microsoft.com/office/2006/metadata/properties" ma:root="true" ma:fieldsID="ed21dce33afaffdd2045e6029dc7eb55" ns2:_="" ns3:_="">
    <xsd:import namespace="3edea6fe-52b8-4667-bb86-b2155c8c67e6"/>
    <xsd:import namespace="7952995f-2f24-4935-944c-2e29180cf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ea6fe-52b8-4667-bb86-b2155c8c67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c01750-6c40-40dc-ac3d-8fd2a3d7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2995f-2f24-4935-944c-2e29180cf73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359de30-0ff1-469a-a8f1-5b30aa49166a}" ma:internalName="TaxCatchAll" ma:showField="CatchAllData" ma:web="7952995f-2f24-4935-944c-2e29180cf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79F4E2-1ACA-484F-A7C5-313A7F15004D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3edea6fe-52b8-4667-bb86-b2155c8c67e6"/>
    <ds:schemaRef ds:uri="7952995f-2f24-4935-944c-2e29180cf736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3729921-73BA-4051-BB08-70876181A4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EB72BF-4842-46E1-9F26-691BA1BEC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ea6fe-52b8-4667-bb86-b2155c8c67e6"/>
    <ds:schemaRef ds:uri="7952995f-2f24-4935-944c-2e29180cf7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DONE DEALS</vt:lpstr>
      <vt:lpstr>AVAILABLE</vt:lpstr>
      <vt:lpstr>UNDERCONSTRUCTION</vt:lpstr>
      <vt:lpstr>PRIVATE OWNERS</vt:lpstr>
      <vt:lpstr>LAND</vt:lpstr>
      <vt:lpstr>MARKET SHARE</vt:lpstr>
      <vt:lpstr>PROYECTOS FUTUROS</vt:lpstr>
      <vt:lpstr>COSTO KVAS</vt:lpstr>
      <vt:lpstr>FORMATO MENSUAL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Enríquez Guajardo</dc:creator>
  <cp:keywords/>
  <dc:description/>
  <cp:lastModifiedBy>Maria Fernanda Barraza Iza</cp:lastModifiedBy>
  <cp:revision/>
  <cp:lastPrinted>2024-03-22T16:57:16Z</cp:lastPrinted>
  <dcterms:created xsi:type="dcterms:W3CDTF">2019-02-20T18:21:22Z</dcterms:created>
  <dcterms:modified xsi:type="dcterms:W3CDTF">2024-03-22T16:59:43Z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0x010100F6D6A72E992D114C81A6EC0B8C99BA69</vt:lpwstr>
  </property>
  <property fmtid="{D5CDD505-2E9C-101B-9397-08002B2CF9AE}" pid="3" name="MediaServiceImageTags">
    <vt:lpwstr/>
  </property>
</Properties>
</file>