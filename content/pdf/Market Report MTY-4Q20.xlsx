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americas.sharepoint.com/sites/WorkSpaces/marketing/Market Reports/2020/"/>
    </mc:Choice>
  </mc:AlternateContent>
  <xr:revisionPtr revIDLastSave="4" documentId="8_{8F46C75D-51E3-4393-B0E0-84AF51D4E9B2}" xr6:coauthVersionLast="46" xr6:coauthVersionMax="46" xr10:uidLastSave="{CA592AD8-C36E-4E95-BDAB-C9AFB6AFE825}"/>
  <bookViews>
    <workbookView xWindow="-120" yWindow="-120" windowWidth="20730" windowHeight="11160" xr2:uid="{F63D63A3-C3F9-422B-B0B0-119FB5C22E0B}"/>
  </bookViews>
  <sheets>
    <sheet name="DONE DEALS" sheetId="1" r:id="rId1"/>
    <sheet name="AVAILABLE" sheetId="2" r:id="rId2"/>
    <sheet name="UNDERCONSTRUCTION" sheetId="3" r:id="rId3"/>
    <sheet name="PRIVATE OWNERS" sheetId="4" r:id="rId4"/>
    <sheet name="LAND" sheetId="5" r:id="rId5"/>
    <sheet name="MARKET SHARE" sheetId="6" r:id="rId6"/>
    <sheet name="PROYECTOS FUTUROS" sheetId="7" r:id="rId7"/>
  </sheets>
  <definedNames>
    <definedName name="_xlnm._FilterDatabase" localSheetId="1" hidden="1">AVAILABLE!$A$4:$K$91</definedName>
    <definedName name="_xlnm._FilterDatabase" localSheetId="0" hidden="1">'DONE DEALS'!$A$4:$P$114</definedName>
    <definedName name="_xlnm._FilterDatabase" localSheetId="2" hidden="1">UNDERCONSTRUCTION!$A$4:$I$18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2" i="1" l="1"/>
  <c r="G110" i="1"/>
  <c r="G103" i="1"/>
  <c r="G94" i="1"/>
  <c r="G89" i="1"/>
  <c r="G60" i="1"/>
  <c r="G48" i="1"/>
  <c r="G42" i="1"/>
  <c r="F8" i="1"/>
  <c r="F63" i="1" l="1"/>
  <c r="F100" i="1"/>
  <c r="F71" i="1" l="1"/>
  <c r="F7" i="1"/>
  <c r="G36" i="3" l="1"/>
  <c r="F87" i="1"/>
  <c r="F86" i="1"/>
  <c r="G44" i="2" l="1"/>
  <c r="G45" i="2"/>
  <c r="F44" i="2"/>
  <c r="F45" i="2"/>
  <c r="G24" i="2"/>
  <c r="F24" i="2"/>
  <c r="F21" i="1"/>
  <c r="F85" i="1"/>
  <c r="F84" i="1"/>
  <c r="F79" i="1"/>
  <c r="F34" i="1" l="1"/>
  <c r="G6" i="4"/>
  <c r="F109" i="1" l="1"/>
  <c r="H8" i="4" l="1"/>
  <c r="F8" i="4"/>
  <c r="F70" i="1" l="1"/>
  <c r="F67" i="1"/>
  <c r="G11" i="3"/>
  <c r="F36" i="3"/>
  <c r="F35" i="3"/>
  <c r="F68" i="1"/>
  <c r="F41" i="1"/>
  <c r="F11" i="3" l="1"/>
  <c r="F10" i="3"/>
  <c r="F6" i="3"/>
  <c r="F47" i="1"/>
  <c r="G10" i="2" l="1"/>
  <c r="F10" i="2"/>
  <c r="F66" i="1"/>
  <c r="I39" i="2" l="1"/>
  <c r="F38" i="2"/>
  <c r="G38" i="2"/>
  <c r="F34" i="3"/>
  <c r="F16" i="3"/>
  <c r="F78" i="1" l="1"/>
  <c r="G14" i="2"/>
  <c r="F14" i="2"/>
  <c r="F33" i="1"/>
  <c r="F32" i="1"/>
  <c r="F31" i="1"/>
  <c r="F81" i="1"/>
  <c r="F76" i="1"/>
  <c r="F46" i="1"/>
  <c r="F88" i="1" l="1"/>
  <c r="G5" i="4" l="1"/>
  <c r="F57" i="2"/>
  <c r="G57" i="2"/>
  <c r="F22" i="1"/>
  <c r="F101" i="1"/>
  <c r="F57" i="1"/>
  <c r="F20" i="1"/>
  <c r="F30" i="1" l="1"/>
  <c r="F65" i="1"/>
  <c r="F75" i="1" l="1"/>
  <c r="F102" i="1"/>
  <c r="G11" i="7" l="1"/>
  <c r="G10" i="7"/>
  <c r="F59" i="2" l="1"/>
  <c r="G59" i="2"/>
  <c r="G13" i="7" l="1"/>
  <c r="G86" i="2"/>
  <c r="F86" i="2"/>
  <c r="G34" i="2"/>
  <c r="F34" i="2"/>
  <c r="F8" i="3"/>
  <c r="G37" i="2"/>
  <c r="F37" i="2"/>
  <c r="G82" i="2" l="1"/>
  <c r="F82" i="2"/>
  <c r="F6" i="1"/>
  <c r="F108" i="1"/>
  <c r="F77" i="1"/>
  <c r="F59" i="1"/>
  <c r="F74" i="1"/>
  <c r="F45" i="1" l="1"/>
  <c r="F25" i="1" l="1"/>
  <c r="F18" i="1" l="1"/>
  <c r="F17" i="1"/>
  <c r="F14" i="1"/>
  <c r="F28" i="1"/>
  <c r="F69" i="1" l="1"/>
  <c r="F44" i="1"/>
  <c r="F48" i="1" s="1"/>
  <c r="I75" i="2" l="1"/>
  <c r="G74" i="2"/>
  <c r="F74" i="2"/>
  <c r="F92" i="1" l="1"/>
  <c r="F10" i="1"/>
  <c r="F62" i="1" l="1"/>
  <c r="F107" i="1"/>
  <c r="F106" i="1" l="1"/>
  <c r="F105" i="1"/>
  <c r="F110" i="1" s="1"/>
  <c r="F55" i="1" l="1"/>
  <c r="F99" i="1" l="1"/>
  <c r="F98" i="1"/>
  <c r="G17" i="3"/>
  <c r="F24" i="1"/>
  <c r="I51" i="2"/>
  <c r="F42" i="2"/>
  <c r="G42" i="2"/>
  <c r="F39" i="1"/>
  <c r="F38" i="1" l="1"/>
  <c r="F80" i="1"/>
  <c r="G32" i="3"/>
  <c r="F7" i="3"/>
  <c r="F13" i="3"/>
  <c r="F27" i="1" l="1"/>
  <c r="F19" i="1"/>
  <c r="F54" i="1"/>
  <c r="F43" i="2"/>
  <c r="G43" i="2"/>
  <c r="F16" i="2" l="1"/>
  <c r="G16" i="2"/>
  <c r="F26" i="1"/>
  <c r="I90" i="2" l="1"/>
  <c r="G85" i="2" l="1"/>
  <c r="F85" i="2"/>
  <c r="G29" i="2"/>
  <c r="F29" i="2"/>
  <c r="G28" i="2"/>
  <c r="F28" i="2"/>
  <c r="G27" i="2"/>
  <c r="F27" i="2"/>
  <c r="F83" i="2"/>
  <c r="F81" i="2"/>
  <c r="G83" i="2"/>
  <c r="G81" i="2"/>
  <c r="F97" i="1"/>
  <c r="F96" i="1"/>
  <c r="F103" i="1" s="1"/>
  <c r="F36" i="1" l="1"/>
  <c r="F35" i="1"/>
  <c r="F37" i="1" l="1"/>
  <c r="F58" i="1"/>
  <c r="F16" i="1"/>
  <c r="F15" i="1"/>
  <c r="F56" i="1" l="1"/>
  <c r="F83" i="1"/>
  <c r="F82" i="1"/>
  <c r="F89" i="1" s="1"/>
  <c r="F23" i="1" l="1"/>
  <c r="F93" i="1"/>
  <c r="F91" i="1"/>
  <c r="F53" i="1"/>
  <c r="F60" i="1" s="1"/>
  <c r="F64" i="1"/>
  <c r="F72" i="1" s="1"/>
  <c r="G32" i="2"/>
  <c r="F32" i="2"/>
  <c r="F11" i="1"/>
  <c r="F29" i="1"/>
  <c r="F94" i="1" l="1"/>
  <c r="F9" i="1"/>
  <c r="F40" i="1" l="1"/>
  <c r="F13" i="1" l="1"/>
  <c r="F113" i="1" l="1"/>
  <c r="F12" i="1" l="1"/>
  <c r="F42" i="1" s="1"/>
  <c r="G51" i="1" l="1"/>
  <c r="G113" i="1" l="1"/>
  <c r="G114" i="1" s="1"/>
  <c r="F9" i="3" l="1"/>
  <c r="G53" i="2" l="1"/>
  <c r="F53" i="2"/>
  <c r="I55" i="2"/>
  <c r="G20" i="3" l="1"/>
  <c r="F32" i="3" l="1"/>
  <c r="H79" i="2"/>
  <c r="I79" i="2"/>
  <c r="I87" i="2" s="1"/>
  <c r="G14" i="3" l="1"/>
  <c r="F78" i="2" l="1"/>
  <c r="G78" i="2"/>
  <c r="F77" i="2"/>
  <c r="G77" i="2"/>
  <c r="G33" i="2" l="1"/>
  <c r="F33" i="2"/>
  <c r="F80" i="2" l="1"/>
  <c r="G80" i="2"/>
  <c r="F14" i="3"/>
  <c r="G41" i="2"/>
  <c r="F41" i="2"/>
  <c r="F54" i="2" l="1"/>
  <c r="G54" i="2"/>
  <c r="F22" i="2"/>
  <c r="G22" i="2"/>
  <c r="G26" i="2"/>
  <c r="F26" i="2"/>
  <c r="G25" i="2"/>
  <c r="F25" i="2"/>
  <c r="G62" i="2" l="1"/>
  <c r="F62" i="2"/>
  <c r="I69" i="2" l="1"/>
  <c r="F30" i="2" l="1"/>
  <c r="G30" i="2"/>
  <c r="G31" i="2"/>
  <c r="F31" i="2"/>
  <c r="F51" i="1"/>
  <c r="G50" i="2" l="1"/>
  <c r="F50" i="2"/>
  <c r="F71" i="2" l="1"/>
  <c r="G71" i="2"/>
  <c r="G13" i="2" l="1"/>
  <c r="F13" i="2"/>
  <c r="G29" i="3" l="1"/>
  <c r="F29" i="3"/>
  <c r="G26" i="3"/>
  <c r="F26" i="3"/>
  <c r="G23" i="3"/>
  <c r="F23" i="3"/>
  <c r="F20" i="3"/>
  <c r="F17" i="3"/>
  <c r="G89" i="2"/>
  <c r="F89" i="2"/>
  <c r="G84" i="2"/>
  <c r="F84" i="2"/>
  <c r="G73" i="2"/>
  <c r="F73" i="2"/>
  <c r="G72" i="2"/>
  <c r="F72" i="2"/>
  <c r="G68" i="2"/>
  <c r="F68" i="2"/>
  <c r="I66" i="2"/>
  <c r="I61" i="2"/>
  <c r="I63" i="2" s="1"/>
  <c r="F61" i="2"/>
  <c r="G60" i="2"/>
  <c r="F60" i="2"/>
  <c r="G58" i="2"/>
  <c r="F58" i="2"/>
  <c r="G49" i="2"/>
  <c r="F49" i="2"/>
  <c r="G48" i="2"/>
  <c r="F48" i="2"/>
  <c r="G47" i="2"/>
  <c r="F47" i="2"/>
  <c r="G46" i="2"/>
  <c r="F46" i="2"/>
  <c r="G36" i="2"/>
  <c r="F36" i="2"/>
  <c r="G35" i="2"/>
  <c r="F35" i="2"/>
  <c r="G23" i="2"/>
  <c r="F23" i="2"/>
  <c r="G21" i="2"/>
  <c r="F21" i="2"/>
  <c r="G20" i="2"/>
  <c r="F20" i="2"/>
  <c r="G19" i="2"/>
  <c r="F19" i="2"/>
  <c r="G18" i="2"/>
  <c r="F18" i="2"/>
  <c r="G17" i="2"/>
  <c r="F17" i="2"/>
  <c r="G15" i="2"/>
  <c r="F15" i="2"/>
  <c r="G12" i="2"/>
  <c r="F12" i="2"/>
  <c r="G11" i="2"/>
  <c r="F11" i="2"/>
  <c r="G9" i="2"/>
  <c r="F9" i="2"/>
  <c r="G8" i="2"/>
  <c r="F8" i="2"/>
  <c r="G7" i="2"/>
  <c r="F7" i="2"/>
  <c r="G6" i="2"/>
  <c r="F6" i="2"/>
  <c r="I91" i="2" l="1"/>
  <c r="G37" i="3"/>
  <c r="F37" i="3"/>
  <c r="G61" i="2"/>
  <c r="F114" i="1"/>
  <c r="H9" i="7" l="1"/>
  <c r="H8" i="7"/>
  <c r="H7" i="7"/>
  <c r="H6" i="7"/>
  <c r="G5" i="7"/>
  <c r="G14" i="7" s="1"/>
  <c r="F33" i="6"/>
  <c r="D33" i="6" s="1"/>
  <c r="H32" i="6"/>
  <c r="F32" i="6"/>
  <c r="D32" i="6" s="1"/>
  <c r="H31" i="6"/>
  <c r="F31" i="6" s="1"/>
  <c r="J30" i="6"/>
  <c r="J36" i="6" s="1"/>
  <c r="H29" i="6"/>
  <c r="F29" i="6"/>
  <c r="D29" i="6"/>
  <c r="H28" i="6"/>
  <c r="H25" i="6"/>
  <c r="H23" i="6"/>
  <c r="F23" i="6" s="1"/>
  <c r="D23" i="6" s="1"/>
  <c r="H20" i="6"/>
  <c r="F20" i="6" s="1"/>
  <c r="H19" i="6"/>
  <c r="F19" i="6" s="1"/>
  <c r="H16" i="6"/>
  <c r="F16" i="6" s="1"/>
  <c r="H15" i="6"/>
  <c r="F15" i="6" s="1"/>
  <c r="H14" i="6"/>
  <c r="H12" i="6"/>
  <c r="F12" i="6" s="1"/>
  <c r="H10" i="6"/>
  <c r="H9" i="6"/>
  <c r="H8" i="6"/>
  <c r="H7" i="6"/>
  <c r="F7" i="6" s="1"/>
  <c r="H5" i="6"/>
  <c r="H14" i="7" l="1"/>
  <c r="D31" i="6"/>
  <c r="D16" i="6"/>
  <c r="D7" i="6"/>
  <c r="D19" i="6"/>
  <c r="D15" i="6"/>
  <c r="D20" i="6"/>
  <c r="H30" i="6"/>
  <c r="F30" i="6" l="1"/>
  <c r="B19" i="6"/>
  <c r="H36" i="6"/>
  <c r="B31" i="6"/>
  <c r="B16" i="6"/>
  <c r="B20" i="6"/>
  <c r="B7" i="6"/>
  <c r="D30" i="6" l="1"/>
  <c r="F36" i="6"/>
  <c r="B36" i="6"/>
  <c r="C16" i="6" s="1"/>
  <c r="I32" i="6"/>
  <c r="I24" i="6"/>
  <c r="I23" i="6"/>
  <c r="I9" i="6"/>
  <c r="I22" i="6"/>
  <c r="I20" i="6"/>
  <c r="I10" i="6"/>
  <c r="I26" i="6"/>
  <c r="I21" i="6"/>
  <c r="I18" i="6"/>
  <c r="I17" i="6"/>
  <c r="I15" i="6"/>
  <c r="I11" i="6"/>
  <c r="I34" i="6"/>
  <c r="I33" i="6"/>
  <c r="I6" i="6"/>
  <c r="I31" i="6"/>
  <c r="I29" i="6"/>
  <c r="I27" i="6"/>
  <c r="I25" i="6"/>
  <c r="I19" i="6"/>
  <c r="I16" i="6"/>
  <c r="I8" i="6"/>
  <c r="I28" i="6"/>
  <c r="I14" i="6"/>
  <c r="I12" i="6"/>
  <c r="I5" i="6"/>
  <c r="I7" i="6"/>
  <c r="I30" i="6"/>
  <c r="I36" i="6" l="1"/>
  <c r="C19" i="6"/>
  <c r="C13" i="6"/>
  <c r="C9" i="6"/>
  <c r="C25" i="6"/>
  <c r="C35" i="6"/>
  <c r="C34" i="6"/>
  <c r="C29" i="6"/>
  <c r="C15" i="6"/>
  <c r="C8" i="6"/>
  <c r="C6" i="6"/>
  <c r="C33" i="6"/>
  <c r="C24" i="6"/>
  <c r="C10" i="6"/>
  <c r="C32" i="6"/>
  <c r="C30" i="6"/>
  <c r="C28" i="6"/>
  <c r="C27" i="6"/>
  <c r="C26" i="6"/>
  <c r="C23" i="6"/>
  <c r="C22" i="6"/>
  <c r="C21" i="6"/>
  <c r="C18" i="6"/>
  <c r="C17" i="6"/>
  <c r="C14" i="6"/>
  <c r="C12" i="6"/>
  <c r="C11" i="6"/>
  <c r="C5" i="6"/>
  <c r="G28" i="6"/>
  <c r="G27" i="6"/>
  <c r="G26" i="6"/>
  <c r="G22" i="6"/>
  <c r="G21" i="6"/>
  <c r="G18" i="6"/>
  <c r="G17" i="6"/>
  <c r="G14" i="6"/>
  <c r="G11" i="6"/>
  <c r="G5" i="6"/>
  <c r="G34" i="6"/>
  <c r="G33" i="6"/>
  <c r="G6" i="6"/>
  <c r="G25" i="6"/>
  <c r="G24" i="6"/>
  <c r="G10" i="6"/>
  <c r="G9" i="6"/>
  <c r="G8" i="6"/>
  <c r="G31" i="6"/>
  <c r="G7" i="6"/>
  <c r="G19" i="6"/>
  <c r="G23" i="6"/>
  <c r="G32" i="6"/>
  <c r="G12" i="6"/>
  <c r="G29" i="6"/>
  <c r="G15" i="6"/>
  <c r="G16" i="6"/>
  <c r="G20" i="6"/>
  <c r="C20" i="6"/>
  <c r="D36" i="6"/>
  <c r="E30" i="6" s="1"/>
  <c r="C7" i="6"/>
  <c r="G30" i="6"/>
  <c r="C31" i="6"/>
  <c r="C36" i="6" l="1"/>
  <c r="E34" i="6"/>
  <c r="E8" i="6"/>
  <c r="E6" i="6"/>
  <c r="E9" i="6"/>
  <c r="E28" i="6"/>
  <c r="E27" i="6"/>
  <c r="E26" i="6"/>
  <c r="E22" i="6"/>
  <c r="E21" i="6"/>
  <c r="E18" i="6"/>
  <c r="E17" i="6"/>
  <c r="E14" i="6"/>
  <c r="E12" i="6"/>
  <c r="E11" i="6"/>
  <c r="E5" i="6"/>
  <c r="E29" i="6"/>
  <c r="E13" i="6"/>
  <c r="E25" i="6"/>
  <c r="E24" i="6"/>
  <c r="E10" i="6"/>
  <c r="E23" i="6"/>
  <c r="E33" i="6"/>
  <c r="E32" i="6"/>
  <c r="E16" i="6"/>
  <c r="E19" i="6"/>
  <c r="E20" i="6"/>
  <c r="E7" i="6"/>
  <c r="E31" i="6"/>
  <c r="E15" i="6"/>
  <c r="G36" i="6"/>
  <c r="E36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Hernandez</author>
  </authors>
  <commentList>
    <comment ref="L4" authorId="0" shapeId="0" xr:uid="{386B1E64-EEDA-44D2-9CC1-2E14BD62BAE6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Logistica
Distribucion
Manufactura
</t>
        </r>
      </text>
    </comment>
    <comment ref="M4" authorId="0" shapeId="0" xr:uid="{8CFEB239-08BC-4704-96B5-C586960F7200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Nuevo
Expansion
Relocalizacion
varias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Martha Alejandra Enríquez Guajardo</author>
    <author>Alejandra Enríquez Guajardo</author>
  </authors>
  <commentList>
    <comment ref="I6" authorId="0" shapeId="0" xr:uid="{6B1D00D3-6B79-46E0-BFD6-4837ABC29DD7}">
      <text>
        <r>
          <rPr>
            <b/>
            <sz val="9"/>
            <color indexed="81"/>
            <rFont val="Tahoma"/>
            <family val="2"/>
          </rPr>
          <t>Martha Alejandra Enríquez Guajardo:
Cierre con Sambo Motors 44,990 sf</t>
        </r>
      </text>
    </comment>
    <comment ref="I7" authorId="1" shapeId="0" xr:uid="{C2A22D88-C944-4B45-A657-75B3598BFC57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8,000 mts con Polytech</t>
        </r>
      </text>
    </comment>
    <comment ref="I8" authorId="0" shapeId="0" xr:uid="{4097C000-5ACD-492C-97C3-8733362F2F58}">
      <text>
        <r>
          <rPr>
            <b/>
            <sz val="9"/>
            <color indexed="81"/>
            <rFont val="Tahoma"/>
            <family val="2"/>
          </rPr>
          <t>Martha Alejandra Enríquez Guajardo:</t>
        </r>
        <r>
          <rPr>
            <sz val="9"/>
            <color indexed="81"/>
            <rFont val="Tahoma"/>
            <family val="2"/>
          </rPr>
          <t xml:space="preserve">
Cerraron 129,107sf con Pantos.</t>
        </r>
      </text>
    </comment>
    <comment ref="I9" authorId="1" shapeId="0" xr:uid="{FBE07BDD-3F45-41C3-A6F8-2DCEF25F0B96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Rosenberger 43,056 sf</t>
        </r>
      </text>
    </comment>
    <comment ref="I13" authorId="0" shapeId="0" xr:uid="{BFABE4C6-9454-40F2-B786-BFB0C8BB68E2}">
      <text>
        <r>
          <rPr>
            <b/>
            <sz val="9"/>
            <color indexed="81"/>
            <rFont val="Tahoma"/>
            <family val="2"/>
          </rPr>
          <t>Martha Alejandra Enríquez Guajardo:</t>
        </r>
        <r>
          <rPr>
            <sz val="9"/>
            <color indexed="81"/>
            <rFont val="Tahoma"/>
            <family val="2"/>
          </rPr>
          <t xml:space="preserve">
Basicos Partes y Acabados 82,500</t>
        </r>
      </text>
    </comment>
    <comment ref="I16" authorId="1" shapeId="0" xr:uid="{AFCE0D17-CA03-4956-9981-363803664139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94,463 sf de Pepsi</t>
        </r>
      </text>
    </comment>
    <comment ref="I22" authorId="1" shapeId="0" xr:uid="{87F43CC0-D621-4AE7-96DE-35F01581DC76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15,457 sf con Del Bravo Sec. 3</t>
        </r>
      </text>
    </comment>
    <comment ref="I23" authorId="1" shapeId="0" xr:uid="{6711E1A1-1C12-4DB6-B942-CA57CCAD13EE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14,015 sf Seccion 3 - Confidencial</t>
        </r>
      </text>
    </comment>
    <comment ref="I33" authorId="1" shapeId="0" xr:uid="{621C5A58-A365-4F92-AD0A-8453D65854DA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25,834 sf GP Vivienda
11,173 sf Logyt</t>
        </r>
      </text>
    </comment>
    <comment ref="I36" authorId="1" shapeId="0" xr:uid="{2F1BD656-8A21-4CD1-AEE2-41FDA42E0818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26,038 sf de Suspensys
18,164 sf de Unico Logistics
14,800 sf de Hexagon
18,164 sf de Bodor</t>
        </r>
      </text>
    </comment>
    <comment ref="I41" authorId="1" shapeId="0" xr:uid="{F874270D-BE00-48F6-B0D1-C639D863446E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70,242 sf de Kus</t>
        </r>
      </text>
    </comment>
    <comment ref="I53" authorId="1" shapeId="0" xr:uid="{344ED289-B272-433D-8020-394CB7240164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60,268 sf de IDL</t>
        </r>
      </text>
    </comment>
    <comment ref="I65" authorId="0" shapeId="0" xr:uid="{21A9DF70-0AF5-4A86-924E-45C1296304FE}">
      <text>
        <r>
          <rPr>
            <b/>
            <sz val="9"/>
            <color indexed="81"/>
            <rFont val="Tahoma"/>
            <family val="2"/>
          </rPr>
          <t>Martha Alejandra Enríquez Guajardo
Confidencial cerró 35,112 sf</t>
        </r>
      </text>
    </comment>
    <comment ref="I83" authorId="1" shapeId="0" xr:uid="{1F8CD7DC-3659-48E7-B30A-CA31C61252A7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72,580 sf con Sultana
53,561 sf con Tamcas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Hernandez</author>
  </authors>
  <commentList>
    <comment ref="H23" authorId="0" shapeId="0" xr:uid="{874A5676-3AEC-4C84-823F-284882606D93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Whirlpool - CPA
</t>
        </r>
      </text>
    </comment>
    <comment ref="H31" authorId="0" shapeId="0" xr:uid="{17C7EB1A-1FFC-4958-8D66-DE7EF30C6D54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Gutner+caterpillar
</t>
        </r>
      </text>
    </comment>
    <comment ref="J31" authorId="0" shapeId="0" xr:uid="{2A513B52-34E3-4272-B646-2A035B5DC253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GBOX-70K
MULTI - 200K
BONAFONT - 80K
DANONE - 40K</t>
        </r>
      </text>
    </comment>
  </commentList>
</comments>
</file>

<file path=xl/sharedStrings.xml><?xml version="1.0" encoding="utf-8"?>
<sst xmlns="http://schemas.openxmlformats.org/spreadsheetml/2006/main" count="1709" uniqueCount="552">
  <si>
    <t>MONTERREY MARKET REPORT</t>
  </si>
  <si>
    <t>AVAILABLE BUILDINGS</t>
  </si>
  <si>
    <t>SUBMERCADO</t>
  </si>
  <si>
    <t>EDIFICIO</t>
  </si>
  <si>
    <t>UBICACIÓN</t>
  </si>
  <si>
    <t>DUEÑO</t>
  </si>
  <si>
    <t>AREA TOTAL S.M.</t>
  </si>
  <si>
    <t>AREA DISPONIBLE S.M</t>
  </si>
  <si>
    <t>TOTAL SF</t>
  </si>
  <si>
    <t>DISPONIBLE SF</t>
  </si>
  <si>
    <t>INFORMACION ADICIONAL</t>
  </si>
  <si>
    <t>CLASE</t>
  </si>
  <si>
    <t>APODACA</t>
  </si>
  <si>
    <t>Apodaca</t>
  </si>
  <si>
    <t>Inventory IV</t>
  </si>
  <si>
    <t>American Industries Apodaca</t>
  </si>
  <si>
    <t>American Industries</t>
  </si>
  <si>
    <t>A</t>
  </si>
  <si>
    <t>2A</t>
  </si>
  <si>
    <t>Kronos Industrial Park</t>
  </si>
  <si>
    <t>Capital G</t>
  </si>
  <si>
    <t>shell</t>
  </si>
  <si>
    <t>Nave 2</t>
  </si>
  <si>
    <t>Milenium Agua Fría</t>
  </si>
  <si>
    <t>Coexsa</t>
  </si>
  <si>
    <t>MAN 07</t>
  </si>
  <si>
    <t>Milenium Industrial Park</t>
  </si>
  <si>
    <t xml:space="preserve">Coexsa </t>
  </si>
  <si>
    <t>Innova 3</t>
  </si>
  <si>
    <t>Milenium Innova</t>
  </si>
  <si>
    <t>M1</t>
  </si>
  <si>
    <t>Davisa Apodaca Industrial Park</t>
  </si>
  <si>
    <t>Davisa</t>
  </si>
  <si>
    <t>MTY-31</t>
  </si>
  <si>
    <t>Nexxus Apodaca</t>
  </si>
  <si>
    <t>Fibra Macquarie</t>
  </si>
  <si>
    <t>MTY-05</t>
  </si>
  <si>
    <t>Finsa Monterrey</t>
  </si>
  <si>
    <t>B</t>
  </si>
  <si>
    <t>MIC #5</t>
  </si>
  <si>
    <t>Prologis Monterrey Industrial Center</t>
  </si>
  <si>
    <t>Finsa</t>
  </si>
  <si>
    <t>Fase 1 y Fase 2</t>
  </si>
  <si>
    <t>Flex Park</t>
  </si>
  <si>
    <t>G Induistrial</t>
  </si>
  <si>
    <t>MT01 Pimsa</t>
  </si>
  <si>
    <t>Parque Industrial Monterrey</t>
  </si>
  <si>
    <t>GP</t>
  </si>
  <si>
    <t>Kalos Apodaca</t>
  </si>
  <si>
    <t>Kalos</t>
  </si>
  <si>
    <t>KAS 1, 1 al 8</t>
  </si>
  <si>
    <t>Kalos Apodaca Santa Rosa</t>
  </si>
  <si>
    <t>KAS 3, 1 al 3</t>
  </si>
  <si>
    <t>KAS 4, 1 al 4</t>
  </si>
  <si>
    <t>KAS 5, 1 al 3</t>
  </si>
  <si>
    <t>KAS 6, 1 al 3</t>
  </si>
  <si>
    <t>Kalos Encarnación III</t>
  </si>
  <si>
    <t>KHE1S2</t>
  </si>
  <si>
    <t>Kalos Huinala</t>
  </si>
  <si>
    <t>Huinala IV</t>
  </si>
  <si>
    <t>Huinala</t>
  </si>
  <si>
    <t>IJL</t>
  </si>
  <si>
    <t>Huinala V</t>
  </si>
  <si>
    <t>Nave 531</t>
  </si>
  <si>
    <t>Parque Industrial Martel</t>
  </si>
  <si>
    <t>Martel</t>
  </si>
  <si>
    <t>Nave 530 &amp; 541</t>
  </si>
  <si>
    <t>Nave 561</t>
  </si>
  <si>
    <t>Nave E</t>
  </si>
  <si>
    <t>MIC #11</t>
  </si>
  <si>
    <t>Prologis Apodaca Industrial Center</t>
  </si>
  <si>
    <t>Prologis</t>
  </si>
  <si>
    <t>Agua Fría 3</t>
  </si>
  <si>
    <t>Prologis Agua Fría</t>
  </si>
  <si>
    <t>Agua Fría 6</t>
  </si>
  <si>
    <t>PPA3</t>
  </si>
  <si>
    <t>Prologis Apodaca Industrial Park</t>
  </si>
  <si>
    <t>PIS 9</t>
  </si>
  <si>
    <t>El Sabinal Industrial Park</t>
  </si>
  <si>
    <t>Savy Capital</t>
  </si>
  <si>
    <t>INV-AE-02</t>
  </si>
  <si>
    <t xml:space="preserve">Stiva Aeropuerto </t>
  </si>
  <si>
    <t>Stiva</t>
  </si>
  <si>
    <t>OWH-3</t>
  </si>
  <si>
    <t>TOTAL</t>
  </si>
  <si>
    <t>ESCOBEDO</t>
  </si>
  <si>
    <t>Escobedo</t>
  </si>
  <si>
    <t>MTY019</t>
  </si>
  <si>
    <t>Nexxus Escobedo Industrial Center</t>
  </si>
  <si>
    <t>MTY026</t>
  </si>
  <si>
    <t>MT02</t>
  </si>
  <si>
    <t>GP Escobedo</t>
  </si>
  <si>
    <t>MT03</t>
  </si>
  <si>
    <t xml:space="preserve">Business Park </t>
  </si>
  <si>
    <t>10 bodegas de 1,255 sqm</t>
  </si>
  <si>
    <t>Nave 2A</t>
  </si>
  <si>
    <t>Puerta del Norte Industrial Park</t>
  </si>
  <si>
    <t>Puerta del Norte</t>
  </si>
  <si>
    <t>Nave 1</t>
  </si>
  <si>
    <t>Parque Industrial Libramiento</t>
  </si>
  <si>
    <t>Particular</t>
  </si>
  <si>
    <t>Nave 4</t>
  </si>
  <si>
    <t>Spec IV</t>
  </si>
  <si>
    <t>Vynmsa Escobedo Park II</t>
  </si>
  <si>
    <t>Vynmsa</t>
  </si>
  <si>
    <t>SAN NICOLAS</t>
  </si>
  <si>
    <t>San Nicolas</t>
  </si>
  <si>
    <t>Adhoc Sendero</t>
  </si>
  <si>
    <t>Adhoc</t>
  </si>
  <si>
    <t>KSN 4, Sec. 4</t>
  </si>
  <si>
    <t>Kalos San Nicolas</t>
  </si>
  <si>
    <t>C</t>
  </si>
  <si>
    <t>KSN 5, Sec. 6-10</t>
  </si>
  <si>
    <t>CIENEGA DE FLORES</t>
  </si>
  <si>
    <t>Cienega de Flores</t>
  </si>
  <si>
    <t>CPAADN-B012</t>
  </si>
  <si>
    <t>CPA Logistics Center ADN</t>
  </si>
  <si>
    <t>CPA</t>
  </si>
  <si>
    <t>Inventario I</t>
  </si>
  <si>
    <t>Diamante Cienega de Flores II</t>
  </si>
  <si>
    <t>Tredec</t>
  </si>
  <si>
    <t>Spec</t>
  </si>
  <si>
    <t>El Nacional Industrial Park</t>
  </si>
  <si>
    <t>Fondo 5</t>
  </si>
  <si>
    <t>MTY-12</t>
  </si>
  <si>
    <t>Monterrey Technology Park</t>
  </si>
  <si>
    <t>Oasis</t>
  </si>
  <si>
    <t>MTY-11</t>
  </si>
  <si>
    <t>Nexxus ADN</t>
  </si>
  <si>
    <t>Panorama Industrial</t>
  </si>
  <si>
    <t>SALINAS VICTORIA</t>
  </si>
  <si>
    <t>MONTERREY</t>
  </si>
  <si>
    <t>Monterrey</t>
  </si>
  <si>
    <t>M06A</t>
  </si>
  <si>
    <t>Avante Monterrey Industrial Park</t>
  </si>
  <si>
    <t>Roca Desarrollos</t>
  </si>
  <si>
    <t>GUADALUPE</t>
  </si>
  <si>
    <t>Guadalupe</t>
  </si>
  <si>
    <t>G10 (Former Laerdal)</t>
  </si>
  <si>
    <t>Avante Guadalupe</t>
  </si>
  <si>
    <t>Avante</t>
  </si>
  <si>
    <t>Celestica</t>
  </si>
  <si>
    <t>La Silla Guadalupe</t>
  </si>
  <si>
    <t>Ciesa</t>
  </si>
  <si>
    <t>Kalos Guadalupe</t>
  </si>
  <si>
    <t>Edificio 5 Sección 1</t>
  </si>
  <si>
    <t>IGS</t>
  </si>
  <si>
    <t>Building XI</t>
  </si>
  <si>
    <t>Finsa Guadalupe</t>
  </si>
  <si>
    <t>Nexxus Guadalupe</t>
  </si>
  <si>
    <t>SANTA CATARINA</t>
  </si>
  <si>
    <t>Santa Catarina</t>
  </si>
  <si>
    <t>Spec I</t>
  </si>
  <si>
    <t>Advance Industrial Park</t>
  </si>
  <si>
    <t>Advance</t>
  </si>
  <si>
    <t>Spec II</t>
  </si>
  <si>
    <t>Nave 05</t>
  </si>
  <si>
    <t>AVIA Industrial Park</t>
  </si>
  <si>
    <t>AVIA</t>
  </si>
  <si>
    <t>MSC N5</t>
  </si>
  <si>
    <t>Milenium Santa Catarina</t>
  </si>
  <si>
    <t>Multi II</t>
  </si>
  <si>
    <t>Finsa Santa Catarina I</t>
  </si>
  <si>
    <t>Nave 3</t>
  </si>
  <si>
    <t>Finsa Santa Catarina II</t>
  </si>
  <si>
    <t>Kalos Santa Catarina</t>
  </si>
  <si>
    <t>Edificio 12 Sección 1-4</t>
  </si>
  <si>
    <t>Spec 1</t>
  </si>
  <si>
    <t>Landus Sta. Catarina</t>
  </si>
  <si>
    <t>Landus</t>
  </si>
  <si>
    <t>INV-SC-04</t>
  </si>
  <si>
    <t>Stiva Santa Catarina</t>
  </si>
  <si>
    <t>PESQUERIA</t>
  </si>
  <si>
    <t>Pesquería</t>
  </si>
  <si>
    <t>Spec III</t>
  </si>
  <si>
    <t>Airport Technology Park</t>
  </si>
  <si>
    <t>DONE DEALS 2020</t>
  </si>
  <si>
    <t>INQUILINO</t>
  </si>
  <si>
    <t>UBICACIÓN / PARQUE IND</t>
  </si>
  <si>
    <t>S.M.</t>
  </si>
  <si>
    <t>S.F.</t>
  </si>
  <si>
    <t>BTS/ INVENTORY</t>
  </si>
  <si>
    <t>CIERRE</t>
  </si>
  <si>
    <t>BROKER</t>
  </si>
  <si>
    <t>PLAZO</t>
  </si>
  <si>
    <t>TIPO DE NEGOCIO</t>
  </si>
  <si>
    <t>MONEDA</t>
  </si>
  <si>
    <t>CLASS</t>
  </si>
  <si>
    <t>International Brakes</t>
  </si>
  <si>
    <t>Avante Airport Industrial Park</t>
  </si>
  <si>
    <t>AP05</t>
  </si>
  <si>
    <t>Feb</t>
  </si>
  <si>
    <t>Citius Capital</t>
  </si>
  <si>
    <t>Manufactura</t>
  </si>
  <si>
    <t>Nuevo</t>
  </si>
  <si>
    <t>DLLS</t>
  </si>
  <si>
    <t>Huajie</t>
  </si>
  <si>
    <t>AP01</t>
  </si>
  <si>
    <t>Jul</t>
  </si>
  <si>
    <t>Prodensa Select</t>
  </si>
  <si>
    <t>Polytech</t>
  </si>
  <si>
    <t>Directo</t>
  </si>
  <si>
    <t xml:space="preserve">Amazon </t>
  </si>
  <si>
    <t>Apodaca Technology Park</t>
  </si>
  <si>
    <t>ATP-B012</t>
  </si>
  <si>
    <t>Ene</t>
  </si>
  <si>
    <t>ATP-B005</t>
  </si>
  <si>
    <t>Cushman</t>
  </si>
  <si>
    <t>Cometa Ides</t>
  </si>
  <si>
    <t>G Industrial</t>
  </si>
  <si>
    <t>Sección N2</t>
  </si>
  <si>
    <t>Logístico</t>
  </si>
  <si>
    <t>Reubicación</t>
  </si>
  <si>
    <t>MXP</t>
  </si>
  <si>
    <t>Traves Tools</t>
  </si>
  <si>
    <t>Sección N3</t>
  </si>
  <si>
    <t>Mar</t>
  </si>
  <si>
    <t>Del Bravo</t>
  </si>
  <si>
    <t>Edificio 3 Sección 3</t>
  </si>
  <si>
    <t>Jun</t>
  </si>
  <si>
    <t>Perfect Balance</t>
  </si>
  <si>
    <t>Huinala III</t>
  </si>
  <si>
    <t>Reubicacion</t>
  </si>
  <si>
    <t>Etron</t>
  </si>
  <si>
    <t>Amcor</t>
  </si>
  <si>
    <t>Agua Fría 2</t>
  </si>
  <si>
    <t>Abr</t>
  </si>
  <si>
    <t>Alberto Rodríguez</t>
  </si>
  <si>
    <t>Expansión</t>
  </si>
  <si>
    <t>Zebra Pen</t>
  </si>
  <si>
    <t>Agua Fría 1</t>
  </si>
  <si>
    <t>May</t>
  </si>
  <si>
    <t>Logyt</t>
  </si>
  <si>
    <t>Nave 2 PIS 10</t>
  </si>
  <si>
    <t>ILPEA</t>
  </si>
  <si>
    <t>Stiva Aeropuerto</t>
  </si>
  <si>
    <t>BTS</t>
  </si>
  <si>
    <t>Kloeckner Metals</t>
  </si>
  <si>
    <t>Hexagon</t>
  </si>
  <si>
    <t>OWH-3-D</t>
  </si>
  <si>
    <t>Market Analysis</t>
  </si>
  <si>
    <t>Manufactura / Showroom</t>
  </si>
  <si>
    <t>Reubicación / Expansión</t>
  </si>
  <si>
    <t>Fedex</t>
  </si>
  <si>
    <t>JLL</t>
  </si>
  <si>
    <t>Dometic</t>
  </si>
  <si>
    <t>AM-C</t>
  </si>
  <si>
    <t>Saleri</t>
  </si>
  <si>
    <t>OMA Vynmsa Aeropuerto</t>
  </si>
  <si>
    <t>Spec VI</t>
  </si>
  <si>
    <t>Nuevo / Empresa Italiana</t>
  </si>
  <si>
    <t>TOTAL Apodaca</t>
  </si>
  <si>
    <t>Ciénega de Flores</t>
  </si>
  <si>
    <t>TOTAL Ciénega de Flores</t>
  </si>
  <si>
    <t>TOTAL Monterrey</t>
  </si>
  <si>
    <t>San Nicolás</t>
  </si>
  <si>
    <t>IDL</t>
  </si>
  <si>
    <t>Colliers</t>
  </si>
  <si>
    <t>-</t>
  </si>
  <si>
    <t>Jumex</t>
  </si>
  <si>
    <t>Nave B</t>
  </si>
  <si>
    <t>Colliers / Cushman</t>
  </si>
  <si>
    <t>Estafeta</t>
  </si>
  <si>
    <t>Nave KL</t>
  </si>
  <si>
    <t>Greenpaper</t>
  </si>
  <si>
    <t>KSN 5</t>
  </si>
  <si>
    <t>Quimmco</t>
  </si>
  <si>
    <t>Stiva Barragán</t>
  </si>
  <si>
    <t>IM-A</t>
  </si>
  <si>
    <t>CBRE</t>
  </si>
  <si>
    <t>TOTAL San Nicolas</t>
  </si>
  <si>
    <t>Stand Alone</t>
  </si>
  <si>
    <t>Atecno</t>
  </si>
  <si>
    <t>Kus</t>
  </si>
  <si>
    <t>MTY 019</t>
  </si>
  <si>
    <t>TOTAL Escobedo</t>
  </si>
  <si>
    <t>Kohler</t>
  </si>
  <si>
    <t>GP Pocket Park Oriente</t>
  </si>
  <si>
    <t>MT-01</t>
  </si>
  <si>
    <t>Karl Binderberger</t>
  </si>
  <si>
    <t>Confidencial</t>
  </si>
  <si>
    <t>KG 25</t>
  </si>
  <si>
    <t>Mamott</t>
  </si>
  <si>
    <t>Yezica Guadiana</t>
  </si>
  <si>
    <t>TOTAL Guadalpue</t>
  </si>
  <si>
    <t xml:space="preserve">CNC Global </t>
  </si>
  <si>
    <t>El Cardinal Business Park</t>
  </si>
  <si>
    <t>Robertson Industries</t>
  </si>
  <si>
    <t>Newmark</t>
  </si>
  <si>
    <t>Evertis Packaging</t>
  </si>
  <si>
    <t>TOTAL Pesquería</t>
  </si>
  <si>
    <t>Total Pesqueria</t>
  </si>
  <si>
    <t>Sultana</t>
  </si>
  <si>
    <t>FINSA Santa Catarina II</t>
  </si>
  <si>
    <t>Ryder</t>
  </si>
  <si>
    <t xml:space="preserve">FINSA Santa Catarina </t>
  </si>
  <si>
    <t>Optima Bienes Raices</t>
  </si>
  <si>
    <t>Tamcas</t>
  </si>
  <si>
    <t>Grupo SID</t>
  </si>
  <si>
    <t>Nave 5</t>
  </si>
  <si>
    <t>TOTAL Santa Catarina</t>
  </si>
  <si>
    <t>Salinas Victoria</t>
  </si>
  <si>
    <t>Jarlin</t>
  </si>
  <si>
    <t>Hofusan Industrial Park</t>
  </si>
  <si>
    <t>Hofusan</t>
  </si>
  <si>
    <t>Spec 3</t>
  </si>
  <si>
    <t>TOTAL Salinas Victoria</t>
  </si>
  <si>
    <t>EL CARMEN</t>
  </si>
  <si>
    <t>El Carmen</t>
  </si>
  <si>
    <t>TOTAL El Carmen</t>
  </si>
  <si>
    <t>INVENTARIO EN CONSTRUCCION</t>
  </si>
  <si>
    <t>DISPONIBLE</t>
  </si>
  <si>
    <t>Building 1</t>
  </si>
  <si>
    <t>Building 2</t>
  </si>
  <si>
    <t>MT01 Kronos</t>
  </si>
  <si>
    <t>GP Desarrollos</t>
  </si>
  <si>
    <t>Multi IV</t>
  </si>
  <si>
    <t>Interpuerto</t>
  </si>
  <si>
    <t>Specs</t>
  </si>
  <si>
    <t>Conekta Business Park</t>
  </si>
  <si>
    <t>Particular (Familia Iglesias)</t>
  </si>
  <si>
    <t>1Q21</t>
  </si>
  <si>
    <t>PRIVATE OWNERS</t>
  </si>
  <si>
    <t>EMPRESA</t>
  </si>
  <si>
    <t>BTS/ Inventory</t>
  </si>
  <si>
    <t>TERRENO S.F.</t>
  </si>
  <si>
    <t>EDIFICIO S.M.</t>
  </si>
  <si>
    <t>EDIFICIO S.F.</t>
  </si>
  <si>
    <t>PRECIO</t>
  </si>
  <si>
    <t>LAND</t>
  </si>
  <si>
    <t>AREA TOTAL TERRENO hectareas</t>
  </si>
  <si>
    <t>DESARROLLADO</t>
  </si>
  <si>
    <t>POR DESARROLLAR</t>
  </si>
  <si>
    <t>DISPONIBLE PARA VENTA</t>
  </si>
  <si>
    <t>Interpuerto Industrial Park</t>
  </si>
  <si>
    <t>91.56 hec. semi urbanizado / 1,055 hec. en breña</t>
  </si>
  <si>
    <t>Diamante Cienega de Flores</t>
  </si>
  <si>
    <t>Nexxus</t>
  </si>
  <si>
    <t>Nexxus Cienega de Flores</t>
  </si>
  <si>
    <t>MTP</t>
  </si>
  <si>
    <t>Vigia</t>
  </si>
  <si>
    <t>American Ind.</t>
  </si>
  <si>
    <t>AI Apodaca Industrial Park</t>
  </si>
  <si>
    <t>Solo para desarrollo</t>
  </si>
  <si>
    <t>Regio Parque Industrial Park</t>
  </si>
  <si>
    <t>4,469 mts</t>
  </si>
  <si>
    <t>Finsa Apodaca</t>
  </si>
  <si>
    <t>Davisa Apodaca Industrial</t>
  </si>
  <si>
    <t xml:space="preserve">Guadalupe </t>
  </si>
  <si>
    <t>Sta. Catarina</t>
  </si>
  <si>
    <t>Las Americas</t>
  </si>
  <si>
    <t>Martel Industrial Park III</t>
  </si>
  <si>
    <t>No negociable</t>
  </si>
  <si>
    <t>Escobedo / El Carmen</t>
  </si>
  <si>
    <t>El Jaral Industrial Park</t>
  </si>
  <si>
    <t>García</t>
  </si>
  <si>
    <t>Advance Real Estate</t>
  </si>
  <si>
    <t>Advance Industrial Park (PIAM)</t>
  </si>
  <si>
    <t xml:space="preserve">EVALTA  </t>
  </si>
  <si>
    <t>EVALTA - GTP</t>
  </si>
  <si>
    <t>EVALTA - CIP</t>
  </si>
  <si>
    <t>Abasolo</t>
  </si>
  <si>
    <t>EVALTA - NLC</t>
  </si>
  <si>
    <t>EVALTA - ATP</t>
  </si>
  <si>
    <t>Diamante Pesquería</t>
  </si>
  <si>
    <t>Solo para BTS</t>
  </si>
  <si>
    <t>PIES CUADRADOS TOTALES CONSTRUIDOS</t>
  </si>
  <si>
    <t>Market / Real Estate Companies</t>
  </si>
  <si>
    <t>AUGUST, 2018</t>
  </si>
  <si>
    <t>DECEMBER, 2017</t>
  </si>
  <si>
    <t>DECEMBER, 2016</t>
  </si>
  <si>
    <t>Noviembre, 2015</t>
  </si>
  <si>
    <t>November 2014</t>
  </si>
  <si>
    <t>Square Feet</t>
  </si>
  <si>
    <t>%Of Total</t>
  </si>
  <si>
    <t xml:space="preserve">Kalos </t>
  </si>
  <si>
    <t>Fibra ProLogis</t>
  </si>
  <si>
    <t xml:space="preserve">Grupo GP </t>
  </si>
  <si>
    <t>Fibra uno (GP+Finsa)</t>
  </si>
  <si>
    <t>Finsa  (Diamante Sta)</t>
  </si>
  <si>
    <t xml:space="preserve">COEXSA  </t>
  </si>
  <si>
    <t>Terrafina (O’Donnell+AI)</t>
  </si>
  <si>
    <t>Omolap</t>
  </si>
  <si>
    <t>Intermex</t>
  </si>
  <si>
    <t>FIMAC (CPA + DCT+ Intramerica+Nexxus+CPA)</t>
  </si>
  <si>
    <t>PIRSA</t>
  </si>
  <si>
    <t>Fibra Nova</t>
  </si>
  <si>
    <t>Kronos</t>
  </si>
  <si>
    <t>Puerta Norte</t>
  </si>
  <si>
    <t>Inmobiliaria Cumbres</t>
  </si>
  <si>
    <t>GDS Industrial</t>
  </si>
  <si>
    <t>Fibra Monterrey</t>
  </si>
  <si>
    <t>Amistad</t>
  </si>
  <si>
    <t>Total Monterrey :</t>
  </si>
  <si>
    <t>PROYECTOS FUTUROS</t>
  </si>
  <si>
    <t>AREA TOTAL TERRENO</t>
  </si>
  <si>
    <t>Luis Lauro</t>
  </si>
  <si>
    <t>GDS Business Park</t>
  </si>
  <si>
    <t>Building 3</t>
  </si>
  <si>
    <t>Building 4</t>
  </si>
  <si>
    <t>Building 5</t>
  </si>
  <si>
    <t>Building 6</t>
  </si>
  <si>
    <t>Las Americas Pesquería</t>
  </si>
  <si>
    <t>100 hectareas</t>
  </si>
  <si>
    <t>Key Quimica</t>
  </si>
  <si>
    <t>Yanfeng</t>
  </si>
  <si>
    <t>Ago</t>
  </si>
  <si>
    <t>Posshel</t>
  </si>
  <si>
    <t>Independiente</t>
  </si>
  <si>
    <t>Polaris</t>
  </si>
  <si>
    <t>Thermofisher</t>
  </si>
  <si>
    <t>Hunter Douglas</t>
  </si>
  <si>
    <t>King Castle</t>
  </si>
  <si>
    <t>Mercado Libre</t>
  </si>
  <si>
    <t>Nexxus Aeropuerto</t>
  </si>
  <si>
    <t>ATP-B019</t>
  </si>
  <si>
    <t>Lianxiang</t>
  </si>
  <si>
    <t>Baichuan</t>
  </si>
  <si>
    <t>CPAADN-B005</t>
  </si>
  <si>
    <t>Nave C</t>
  </si>
  <si>
    <t>Reubicacion / CEDIS</t>
  </si>
  <si>
    <t>Stanley Black &amp; Decker</t>
  </si>
  <si>
    <t>Logistico</t>
  </si>
  <si>
    <t>Expansión/ month to Month</t>
  </si>
  <si>
    <t>Nuevo - China - proveedor SBD</t>
  </si>
  <si>
    <t>Nuevo - American  Industries shelter - China</t>
  </si>
  <si>
    <t>Expansión - Paqueteria, E-commerce</t>
  </si>
  <si>
    <t xml:space="preserve">Alles Group </t>
  </si>
  <si>
    <t>Expansión en Monterrey, Nuevo en Stiva. La firma fue con AI como Shelter</t>
  </si>
  <si>
    <t>Nuevo - holding empresa Alemana.</t>
  </si>
  <si>
    <t>Nuevo - Le dan servicio a Grupo Allen</t>
  </si>
  <si>
    <t>Nuevo - Le dan servicio a Mars</t>
  </si>
  <si>
    <t>Expansión - hacen muebles</t>
  </si>
  <si>
    <t>Nuevo - hacen piezas metálicas.</t>
  </si>
  <si>
    <t>Nuevo -  hacen cupper / aluminum wire CCA</t>
  </si>
  <si>
    <t>China</t>
  </si>
  <si>
    <t>Alemana</t>
  </si>
  <si>
    <t xml:space="preserve">Nuevo </t>
  </si>
  <si>
    <t xml:space="preserve">Nuevo -  proveedor SBD </t>
  </si>
  <si>
    <t>Kronos 5</t>
  </si>
  <si>
    <t>2Q21</t>
  </si>
  <si>
    <t>Seko</t>
  </si>
  <si>
    <t>G07</t>
  </si>
  <si>
    <t>AVC Inmobiliaria</t>
  </si>
  <si>
    <t>NACIONALIDAD</t>
  </si>
  <si>
    <t>Mexicana</t>
  </si>
  <si>
    <t>Coreana</t>
  </si>
  <si>
    <t>Edificio Frugosa</t>
  </si>
  <si>
    <t>Fawer</t>
  </si>
  <si>
    <t>Nuevo - Autopartes</t>
  </si>
  <si>
    <t>Paquete Express</t>
  </si>
  <si>
    <t>Multi III</t>
  </si>
  <si>
    <t>Inventario III</t>
  </si>
  <si>
    <t>Stiva Aerpuerto</t>
  </si>
  <si>
    <t>INV R1</t>
  </si>
  <si>
    <t>INV R5</t>
  </si>
  <si>
    <t>SPV-01</t>
  </si>
  <si>
    <t>El Sabinal Industrial Park V</t>
  </si>
  <si>
    <t>Diamante Cienega de Flores I</t>
  </si>
  <si>
    <t>Edificio 4</t>
  </si>
  <si>
    <t>Kronos 4</t>
  </si>
  <si>
    <t>Connor</t>
  </si>
  <si>
    <t>TCC Properties</t>
  </si>
  <si>
    <t>Sep</t>
  </si>
  <si>
    <t>Americana</t>
  </si>
  <si>
    <t>MTY 20</t>
  </si>
  <si>
    <t>PCA</t>
  </si>
  <si>
    <t>Japonesa</t>
  </si>
  <si>
    <t>Seah Precision</t>
  </si>
  <si>
    <t>PIS 3</t>
  </si>
  <si>
    <t>Citius AG</t>
  </si>
  <si>
    <t>Quimicas Rosmar</t>
  </si>
  <si>
    <t>Edificio 3 Sección 4, 5 y 6</t>
  </si>
  <si>
    <t>Edificio 3 Sección 7</t>
  </si>
  <si>
    <t>Kalos Ruiz Cortines</t>
  </si>
  <si>
    <t>Bimbo</t>
  </si>
  <si>
    <t>NA</t>
  </si>
  <si>
    <t>Oct</t>
  </si>
  <si>
    <t>Lego</t>
  </si>
  <si>
    <t>Nov</t>
  </si>
  <si>
    <t>Coldwell Banker</t>
  </si>
  <si>
    <t>Coppel</t>
  </si>
  <si>
    <t>Vesta Park Guadalupe</t>
  </si>
  <si>
    <t>Vesta</t>
  </si>
  <si>
    <t>CEDIS</t>
  </si>
  <si>
    <t>MTY 06</t>
  </si>
  <si>
    <t>Pani Bakers</t>
  </si>
  <si>
    <t>MT-6 A&amp;B</t>
  </si>
  <si>
    <t>Anderton Castings</t>
  </si>
  <si>
    <t>Roger Foam</t>
  </si>
  <si>
    <t>MT-6 C&amp;D</t>
  </si>
  <si>
    <t>Expansión / Nueva división</t>
  </si>
  <si>
    <t>SIP-III</t>
  </si>
  <si>
    <t>Cartamundi</t>
  </si>
  <si>
    <t>Belgica</t>
  </si>
  <si>
    <t>Spec V</t>
  </si>
  <si>
    <t>La Silla Apodaca Industrial Park</t>
  </si>
  <si>
    <t>Tenere</t>
  </si>
  <si>
    <t>Brembo</t>
  </si>
  <si>
    <t>MicroPark Escobedo</t>
  </si>
  <si>
    <t>Microbodega 1-4</t>
  </si>
  <si>
    <t>Inventario I / BTS</t>
  </si>
  <si>
    <t>AP06</t>
  </si>
  <si>
    <t>GVS</t>
  </si>
  <si>
    <t>Vynmsa Aeropuerto Apodaca</t>
  </si>
  <si>
    <t>Paulo</t>
  </si>
  <si>
    <t>Dic</t>
  </si>
  <si>
    <t>China Metal</t>
  </si>
  <si>
    <t>Microbodega 5</t>
  </si>
  <si>
    <t>Hisense</t>
  </si>
  <si>
    <t>Mekra Lang</t>
  </si>
  <si>
    <t>Kuka Home</t>
  </si>
  <si>
    <t>Spec 2</t>
  </si>
  <si>
    <t>DHL</t>
  </si>
  <si>
    <t>Logísitica</t>
  </si>
  <si>
    <t>Nefab</t>
  </si>
  <si>
    <t>Broad Ocean</t>
  </si>
  <si>
    <t>Building XVIII</t>
  </si>
  <si>
    <t>KG 2 Sec. 1,2 y 3</t>
  </si>
  <si>
    <t xml:space="preserve">KG 16 </t>
  </si>
  <si>
    <t>Kalos Encarnación II</t>
  </si>
  <si>
    <t>Paqueteria Castores</t>
  </si>
  <si>
    <t>PIM</t>
  </si>
  <si>
    <t>Cuprum</t>
  </si>
  <si>
    <t>expansion</t>
  </si>
  <si>
    <t>logistico</t>
  </si>
  <si>
    <t>FIMA</t>
  </si>
  <si>
    <t>Magformer</t>
  </si>
  <si>
    <t>Edificio 1 Sección 1</t>
  </si>
  <si>
    <t>Edificio 1 Sección 10</t>
  </si>
  <si>
    <t>Apodaca II</t>
  </si>
  <si>
    <t>Parque Industrial La Silla</t>
  </si>
  <si>
    <t>Escobedo I</t>
  </si>
  <si>
    <t>Escobedo II</t>
  </si>
  <si>
    <t>Libramiento Norte Mty</t>
  </si>
  <si>
    <t>Food Trailers</t>
  </si>
  <si>
    <t>Vynmsa Aeropuerto</t>
  </si>
  <si>
    <t>Maca</t>
  </si>
  <si>
    <t>Almacen</t>
  </si>
  <si>
    <t>Lisi</t>
  </si>
  <si>
    <t>Impresos Tecnograficos</t>
  </si>
  <si>
    <t>Aros</t>
  </si>
  <si>
    <t>La Encomienda</t>
  </si>
  <si>
    <t>Hufcor</t>
  </si>
  <si>
    <t>Vynmsa Escobedo Park</t>
  </si>
  <si>
    <t>Util</t>
  </si>
  <si>
    <t>Fast Intl</t>
  </si>
  <si>
    <t>Europea</t>
  </si>
  <si>
    <t>Facil Be</t>
  </si>
  <si>
    <t>Nuevo - Proveedor Navistar</t>
  </si>
  <si>
    <t>Rose Lin / CBRE</t>
  </si>
  <si>
    <t>gds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</si>
</sst>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164" formatCode="[$-409]d\-mmm\-yy;@"/>
    <numFmt numFmtId="165" formatCode="[$-409]mmm\-yy;@"/>
    <numFmt numFmtId="166" formatCode="#,##0.0"/>
    <numFmt numFmtId="167" formatCode="_-&quot;$&quot;* #,##0_-;\-&quot;$&quot;* #,##0_-;_-&quot;$&quot;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23"/>
      <name val="Century Gothic"/>
      <family val="2"/>
    </font>
    <font>
      <sz val="10"/>
      <name val="Open sans"/>
    </font>
    <font>
      <sz val="10"/>
      <name val="Century Gothic"/>
      <family val="2"/>
    </font>
    <font>
      <b/>
      <sz val="16"/>
      <color theme="3" tint="0.39997558519241921"/>
      <name val="Century Gothic"/>
      <family val="2"/>
    </font>
    <font>
      <b/>
      <sz val="12"/>
      <color indexed="23"/>
      <name val="Century Gothic"/>
      <family val="2"/>
    </font>
    <font>
      <b/>
      <sz val="14"/>
      <name val="Arial"/>
      <family val="2"/>
    </font>
    <font>
      <b/>
      <sz val="12"/>
      <color indexed="9"/>
      <name val="Century Gothic"/>
      <family val="2"/>
    </font>
    <font>
      <b/>
      <sz val="12"/>
      <name val="Arial"/>
      <family val="2"/>
    </font>
    <font>
      <b/>
      <sz val="16"/>
      <color indexed="54"/>
      <name val="Century Gothic"/>
      <family val="2"/>
    </font>
    <font>
      <b/>
      <sz val="16"/>
      <name val="Arial"/>
      <family val="2"/>
    </font>
    <font>
      <sz val="10"/>
      <color theme="3" tint="-0.249977111117893"/>
      <name val="Century Gothic"/>
      <family val="2"/>
    </font>
    <font>
      <b/>
      <sz val="10"/>
      <color theme="3" tint="-0.249977111117893"/>
      <name val="Century Gothic"/>
      <family val="2"/>
    </font>
    <font>
      <sz val="10"/>
      <color theme="3" tint="-0.249977111117893"/>
      <name val="Arial"/>
      <family val="2"/>
    </font>
    <font>
      <sz val="16"/>
      <name val="Arial"/>
      <family val="2"/>
    </font>
    <font>
      <sz val="16"/>
      <color indexed="10"/>
      <name val="Arial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color indexed="9"/>
      <name val="Century Gothic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3" tint="0.39997558519241921"/>
      <name val="Century Gothic"/>
      <family val="2"/>
    </font>
    <font>
      <b/>
      <sz val="18"/>
      <name val="Century Gothic"/>
      <family val="2"/>
    </font>
    <font>
      <sz val="9"/>
      <name val="Century Gothic"/>
      <family val="2"/>
    </font>
    <font>
      <b/>
      <sz val="10"/>
      <color indexed="23"/>
      <name val="Century Gothic"/>
      <family val="2"/>
    </font>
    <font>
      <sz val="10"/>
      <color indexed="55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54"/>
      <name val="Century Gothic"/>
      <family val="2"/>
    </font>
    <font>
      <sz val="9"/>
      <name val="Calibri"/>
      <family val="2"/>
    </font>
    <font>
      <sz val="9"/>
      <color theme="3" tint="-0.249977111117893"/>
      <name val="Century Gothic"/>
      <family val="2"/>
    </font>
    <font>
      <sz val="9"/>
      <color theme="3" tint="-0.249977111117893"/>
      <name val="Calibri"/>
      <family val="2"/>
    </font>
    <font>
      <sz val="10"/>
      <color theme="3" tint="-0.249977111117893"/>
      <name val="Calibri"/>
      <family val="2"/>
    </font>
    <font>
      <sz val="10"/>
      <name val="Calibri"/>
      <family val="2"/>
    </font>
    <font>
      <b/>
      <sz val="18"/>
      <color theme="3" tint="0.39997558519241921"/>
      <name val="Century Gothic"/>
      <family val="2"/>
    </font>
    <font>
      <b/>
      <sz val="9"/>
      <color theme="3" tint="-0.249977111117893"/>
      <name val="Century Gothic"/>
      <family val="2"/>
    </font>
    <font>
      <b/>
      <sz val="14"/>
      <color indexed="9"/>
      <name val="Century Gothic"/>
      <family val="2"/>
    </font>
    <font>
      <sz val="10"/>
      <color indexed="9"/>
      <name val="Century Gothic"/>
      <family val="2"/>
    </font>
    <font>
      <b/>
      <sz val="10"/>
      <color indexed="22"/>
      <name val="Century Gothic"/>
      <family val="2"/>
    </font>
    <font>
      <sz val="10"/>
      <color indexed="22"/>
      <name val="Century Gothic"/>
      <family val="2"/>
    </font>
    <font>
      <sz val="10"/>
      <color theme="4" tint="-0.499984740745262"/>
      <name val="Century Gothic"/>
      <family val="2"/>
    </font>
    <font>
      <sz val="14"/>
      <name val="Century Gothic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3" borderId="3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0" xfId="0" applyFont="1" applyAlignment="1">
      <alignment vertical="center"/>
    </xf>
    <xf numFmtId="17" fontId="14" fillId="0" borderId="7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3" fontId="15" fillId="0" borderId="2" xfId="0" applyNumberFormat="1" applyFont="1" applyBorder="1" applyAlignment="1">
      <alignment horizontal="right" vertical="center"/>
    </xf>
    <xf numFmtId="0" fontId="15" fillId="4" borderId="2" xfId="0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2" fillId="3" borderId="8" xfId="0" applyFont="1" applyFill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0" xfId="0" applyFont="1" applyAlignment="1">
      <alignment vertical="center"/>
    </xf>
    <xf numFmtId="2" fontId="14" fillId="0" borderId="2" xfId="0" applyNumberFormat="1" applyFont="1" applyBorder="1" applyAlignment="1">
      <alignment horizontal="left"/>
    </xf>
    <xf numFmtId="2" fontId="14" fillId="0" borderId="2" xfId="0" applyNumberFormat="1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6" xfId="0" applyFont="1" applyBorder="1" applyAlignment="1">
      <alignment vertical="center"/>
    </xf>
    <xf numFmtId="8" fontId="14" fillId="0" borderId="2" xfId="0" applyNumberFormat="1" applyFont="1" applyBorder="1" applyAlignment="1">
      <alignment horizontal="center" vertical="center"/>
    </xf>
    <xf numFmtId="3" fontId="14" fillId="0" borderId="2" xfId="2" applyNumberFormat="1" applyFont="1" applyBorder="1" applyAlignment="1">
      <alignment horizontal="left" vertical="center"/>
    </xf>
    <xf numFmtId="3" fontId="14" fillId="0" borderId="2" xfId="2" applyNumberFormat="1" applyFont="1" applyBorder="1" applyAlignment="1">
      <alignment horizontal="center" vertical="center"/>
    </xf>
    <xf numFmtId="8" fontId="14" fillId="4" borderId="2" xfId="2" applyNumberFormat="1" applyFont="1" applyFill="1" applyBorder="1" applyAlignment="1">
      <alignment horizontal="left" vertical="center"/>
    </xf>
    <xf numFmtId="8" fontId="14" fillId="0" borderId="2" xfId="2" applyNumberFormat="1" applyFont="1" applyBorder="1" applyAlignment="1">
      <alignment horizontal="left" vertical="center"/>
    </xf>
    <xf numFmtId="165" fontId="14" fillId="0" borderId="2" xfId="0" applyNumberFormat="1" applyFont="1" applyBorder="1" applyAlignment="1">
      <alignment horizontal="left" vertical="center"/>
    </xf>
    <xf numFmtId="0" fontId="16" fillId="0" borderId="0" xfId="2" applyFont="1" applyAlignment="1">
      <alignment vertical="center"/>
    </xf>
    <xf numFmtId="0" fontId="1" fillId="5" borderId="4" xfId="0" applyFont="1" applyFill="1" applyBorder="1" applyAlignment="1">
      <alignment vertical="center"/>
    </xf>
    <xf numFmtId="3" fontId="20" fillId="5" borderId="4" xfId="0" applyNumberFormat="1" applyFont="1" applyFill="1" applyBorder="1" applyAlignment="1">
      <alignment horizontal="left" vertical="center"/>
    </xf>
    <xf numFmtId="3" fontId="20" fillId="5" borderId="8" xfId="0" applyNumberFormat="1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3" fontId="14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3" fontId="12" fillId="3" borderId="4" xfId="0" applyNumberFormat="1" applyFont="1" applyFill="1" applyBorder="1" applyAlignment="1">
      <alignment vertical="center"/>
    </xf>
    <xf numFmtId="8" fontId="14" fillId="0" borderId="2" xfId="0" applyNumberFormat="1" applyFont="1" applyBorder="1" applyAlignment="1">
      <alignment vertical="center"/>
    </xf>
    <xf numFmtId="8" fontId="14" fillId="4" borderId="2" xfId="0" applyNumberFormat="1" applyFont="1" applyFill="1" applyBorder="1" applyAlignment="1">
      <alignment vertical="center"/>
    </xf>
    <xf numFmtId="3" fontId="10" fillId="2" borderId="2" xfId="0" applyNumberFormat="1" applyFont="1" applyFill="1" applyBorder="1" applyAlignment="1">
      <alignment horizontal="right" vertical="center"/>
    </xf>
    <xf numFmtId="0" fontId="21" fillId="2" borderId="2" xfId="0" applyFont="1" applyFill="1" applyBorder="1" applyAlignment="1">
      <alignment vertical="center"/>
    </xf>
    <xf numFmtId="164" fontId="21" fillId="2" borderId="2" xfId="0" applyNumberFormat="1" applyFont="1" applyFill="1" applyBorder="1" applyAlignment="1">
      <alignment vertical="center"/>
    </xf>
    <xf numFmtId="0" fontId="21" fillId="2" borderId="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3" fontId="30" fillId="2" borderId="10" xfId="0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3" fontId="30" fillId="2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1" fillId="3" borderId="2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3" fontId="32" fillId="0" borderId="0" xfId="0" applyNumberFormat="1" applyFont="1" applyAlignment="1">
      <alignment horizontal="right" vertical="center" wrapText="1"/>
    </xf>
    <xf numFmtId="0" fontId="33" fillId="0" borderId="2" xfId="0" applyFont="1" applyBorder="1" applyAlignment="1">
      <alignment horizontal="left" vertical="center"/>
    </xf>
    <xf numFmtId="3" fontId="33" fillId="4" borderId="2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3" fontId="33" fillId="0" borderId="0" xfId="0" applyNumberFormat="1" applyFont="1" applyAlignment="1">
      <alignment horizontal="left" vertical="center"/>
    </xf>
    <xf numFmtId="3" fontId="15" fillId="0" borderId="2" xfId="0" applyNumberFormat="1" applyFont="1" applyBorder="1" applyAlignment="1">
      <alignment horizontal="center" vertical="center"/>
    </xf>
    <xf numFmtId="3" fontId="36" fillId="0" borderId="0" xfId="0" applyNumberFormat="1" applyFont="1" applyAlignment="1">
      <alignment vertical="center"/>
    </xf>
    <xf numFmtId="0" fontId="31" fillId="3" borderId="8" xfId="0" applyFont="1" applyFill="1" applyBorder="1" applyAlignment="1">
      <alignment vertical="center"/>
    </xf>
    <xf numFmtId="3" fontId="15" fillId="0" borderId="10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3" fontId="36" fillId="0" borderId="0" xfId="0" applyNumberFormat="1" applyFont="1" applyAlignment="1">
      <alignment horizontal="right" vertical="center"/>
    </xf>
    <xf numFmtId="166" fontId="14" fillId="0" borderId="2" xfId="0" applyNumberFormat="1" applyFont="1" applyBorder="1" applyAlignment="1">
      <alignment horizontal="center" vertical="center"/>
    </xf>
    <xf numFmtId="3" fontId="35" fillId="0" borderId="0" xfId="0" applyNumberFormat="1" applyFont="1" applyAlignment="1">
      <alignment horizontal="right" vertical="center"/>
    </xf>
    <xf numFmtId="0" fontId="14" fillId="0" borderId="4" xfId="0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3" fontId="30" fillId="2" borderId="4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3" fontId="0" fillId="0" borderId="0" xfId="0" applyNumberFormat="1"/>
    <xf numFmtId="0" fontId="6" fillId="0" borderId="0" xfId="0" applyFont="1" applyAlignment="1">
      <alignment vertical="center"/>
    </xf>
    <xf numFmtId="0" fontId="28" fillId="2" borderId="2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17" fontId="33" fillId="0" borderId="8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center" vertical="center"/>
    </xf>
    <xf numFmtId="3" fontId="38" fillId="0" borderId="7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6" fillId="4" borderId="0" xfId="0" applyFont="1" applyFill="1" applyAlignment="1">
      <alignment vertical="center"/>
    </xf>
    <xf numFmtId="0" fontId="33" fillId="0" borderId="2" xfId="0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4" borderId="14" xfId="0" applyFont="1" applyFill="1" applyBorder="1" applyAlignment="1">
      <alignment horizontal="left" vertical="center"/>
    </xf>
    <xf numFmtId="0" fontId="14" fillId="4" borderId="15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center" vertical="center"/>
    </xf>
    <xf numFmtId="3" fontId="14" fillId="4" borderId="8" xfId="0" applyNumberFormat="1" applyFont="1" applyFill="1" applyBorder="1" applyAlignment="1">
      <alignment horizontal="center" vertical="center"/>
    </xf>
    <xf numFmtId="3" fontId="33" fillId="4" borderId="8" xfId="0" applyNumberFormat="1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3" fontId="38" fillId="0" borderId="1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3" fontId="38" fillId="0" borderId="2" xfId="0" applyNumberFormat="1" applyFont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3" fontId="39" fillId="2" borderId="4" xfId="0" applyNumberFormat="1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42" fillId="3" borderId="0" xfId="0" applyFont="1" applyFill="1" applyAlignment="1">
      <alignment vertical="center"/>
    </xf>
    <xf numFmtId="3" fontId="43" fillId="0" borderId="2" xfId="0" applyNumberFormat="1" applyFont="1" applyBorder="1" applyAlignment="1">
      <alignment horizontal="center" vertical="center"/>
    </xf>
    <xf numFmtId="165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44" fillId="2" borderId="12" xfId="0" applyFont="1" applyFill="1" applyBorder="1" applyAlignment="1">
      <alignment vertical="center"/>
    </xf>
    <xf numFmtId="0" fontId="39" fillId="2" borderId="1" xfId="0" applyFont="1" applyFill="1" applyBorder="1" applyAlignment="1">
      <alignment vertical="center"/>
    </xf>
    <xf numFmtId="0" fontId="39" fillId="2" borderId="1" xfId="0" applyFont="1" applyFill="1" applyBorder="1" applyAlignment="1">
      <alignment horizontal="right" vertical="center"/>
    </xf>
    <xf numFmtId="3" fontId="39" fillId="2" borderId="1" xfId="0" applyNumberFormat="1" applyFont="1" applyFill="1" applyBorder="1" applyAlignment="1">
      <alignment horizontal="right" vertical="center"/>
    </xf>
    <xf numFmtId="0" fontId="39" fillId="2" borderId="1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167" fontId="43" fillId="0" borderId="2" xfId="1" applyNumberFormat="1" applyFont="1" applyBorder="1" applyAlignment="1">
      <alignment horizontal="center" vertical="center"/>
    </xf>
    <xf numFmtId="167" fontId="14" fillId="0" borderId="2" xfId="3" applyNumberFormat="1" applyFont="1" applyBorder="1" applyAlignment="1">
      <alignment horizontal="center" vertical="center"/>
    </xf>
    <xf numFmtId="0" fontId="44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39" fillId="2" borderId="0" xfId="0" applyFont="1" applyFill="1" applyAlignment="1">
      <alignment horizontal="right" vertical="center"/>
    </xf>
    <xf numFmtId="3" fontId="39" fillId="2" borderId="0" xfId="0" applyNumberFormat="1" applyFont="1" applyFill="1" applyAlignment="1">
      <alignment horizontal="right" vertical="center"/>
    </xf>
    <xf numFmtId="0" fontId="44" fillId="2" borderId="15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/>
    <xf numFmtId="0" fontId="2" fillId="2" borderId="2" xfId="0" applyFont="1" applyFill="1" applyBorder="1"/>
    <xf numFmtId="0" fontId="47" fillId="0" borderId="24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47" fillId="0" borderId="2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9" fillId="0" borderId="2" xfId="4" applyBorder="1"/>
    <xf numFmtId="3" fontId="0" fillId="0" borderId="2" xfId="0" applyNumberFormat="1" applyBorder="1"/>
    <xf numFmtId="10" fontId="48" fillId="0" borderId="2" xfId="4" applyNumberFormat="1" applyFont="1" applyBorder="1"/>
    <xf numFmtId="3" fontId="0" fillId="4" borderId="2" xfId="0" applyNumberFormat="1" applyFill="1" applyBorder="1"/>
    <xf numFmtId="10" fontId="0" fillId="0" borderId="2" xfId="0" applyNumberFormat="1" applyBorder="1"/>
    <xf numFmtId="10" fontId="0" fillId="4" borderId="2" xfId="0" applyNumberFormat="1" applyFill="1" applyBorder="1"/>
    <xf numFmtId="3" fontId="48" fillId="0" borderId="2" xfId="0" applyNumberFormat="1" applyFont="1" applyBorder="1"/>
    <xf numFmtId="4" fontId="0" fillId="0" borderId="2" xfId="0" applyNumberFormat="1" applyBorder="1"/>
    <xf numFmtId="0" fontId="19" fillId="0" borderId="0" xfId="0" applyFont="1"/>
    <xf numFmtId="0" fontId="3" fillId="0" borderId="2" xfId="0" applyFont="1" applyBorder="1"/>
    <xf numFmtId="3" fontId="3" fillId="0" borderId="2" xfId="0" applyNumberFormat="1" applyFont="1" applyBorder="1"/>
    <xf numFmtId="10" fontId="3" fillId="0" borderId="2" xfId="0" applyNumberFormat="1" applyFont="1" applyBorder="1"/>
    <xf numFmtId="9" fontId="0" fillId="0" borderId="2" xfId="0" applyNumberFormat="1" applyBorder="1"/>
    <xf numFmtId="0" fontId="30" fillId="2" borderId="15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44" fillId="2" borderId="6" xfId="0" applyFont="1" applyFill="1" applyBorder="1" applyAlignment="1">
      <alignment vertical="center"/>
    </xf>
    <xf numFmtId="0" fontId="39" fillId="2" borderId="0" xfId="0" applyFont="1" applyFill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31" fillId="3" borderId="2" xfId="0" applyFont="1" applyFill="1" applyBorder="1" applyAlignment="1">
      <alignment horizontal="center" vertical="center"/>
    </xf>
    <xf numFmtId="165" fontId="14" fillId="0" borderId="2" xfId="0" applyNumberFormat="1" applyFont="1" applyBorder="1" applyAlignment="1">
      <alignment horizontal="left" vertical="center" wrapText="1"/>
    </xf>
    <xf numFmtId="8" fontId="14" fillId="0" borderId="2" xfId="2" applyNumberFormat="1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17" fontId="33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5" fontId="14" fillId="0" borderId="2" xfId="0" applyNumberFormat="1" applyFont="1" applyBorder="1" applyAlignment="1">
      <alignment horizontal="center" vertical="center"/>
    </xf>
    <xf numFmtId="17" fontId="14" fillId="0" borderId="2" xfId="0" applyNumberFormat="1" applyFont="1" applyBorder="1" applyAlignment="1">
      <alignment horizontal="center" vertical="center"/>
    </xf>
    <xf numFmtId="3" fontId="33" fillId="0" borderId="2" xfId="0" applyNumberFormat="1" applyFont="1" applyBorder="1" applyAlignment="1">
      <alignment horizontal="center" vertical="center" wrapText="1"/>
    </xf>
    <xf numFmtId="3" fontId="33" fillId="0" borderId="2" xfId="0" applyNumberFormat="1" applyFont="1" applyFill="1" applyBorder="1" applyAlignment="1">
      <alignment horizontal="center" vertical="center"/>
    </xf>
    <xf numFmtId="0" fontId="14" fillId="0" borderId="2" xfId="2" applyFont="1" applyFill="1" applyBorder="1" applyAlignment="1">
      <alignment horizontal="center" vertical="center"/>
    </xf>
    <xf numFmtId="0" fontId="14" fillId="0" borderId="2" xfId="2" applyFont="1" applyFill="1" applyBorder="1" applyAlignment="1">
      <alignment vertical="center"/>
    </xf>
    <xf numFmtId="3" fontId="14" fillId="0" borderId="2" xfId="2" applyNumberFormat="1" applyFont="1" applyFill="1" applyBorder="1" applyAlignment="1">
      <alignment horizontal="left" vertical="center"/>
    </xf>
    <xf numFmtId="3" fontId="14" fillId="0" borderId="2" xfId="2" applyNumberFormat="1" applyFont="1" applyFill="1" applyBorder="1" applyAlignment="1">
      <alignment horizontal="center" vertical="center"/>
    </xf>
    <xf numFmtId="165" fontId="14" fillId="0" borderId="2" xfId="2" applyNumberFormat="1" applyFont="1" applyFill="1" applyBorder="1" applyAlignment="1">
      <alignment horizontal="center" vertical="center"/>
    </xf>
    <xf numFmtId="0" fontId="14" fillId="0" borderId="2" xfId="2" applyFont="1" applyFill="1" applyBorder="1" applyAlignment="1">
      <alignment horizontal="left" vertical="center"/>
    </xf>
    <xf numFmtId="0" fontId="49" fillId="0" borderId="0" xfId="0" applyFont="1"/>
    <xf numFmtId="0" fontId="14" fillId="0" borderId="2" xfId="0" applyFont="1" applyFill="1" applyBorder="1" applyAlignment="1">
      <alignment horizontal="left" vertical="top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2" xfId="0" applyFont="1" applyBorder="1" applyAlignment="1">
      <alignment horizontal="left" vertical="top"/>
    </xf>
    <xf numFmtId="3" fontId="33" fillId="0" borderId="2" xfId="0" applyNumberFormat="1" applyFont="1" applyBorder="1" applyAlignment="1">
      <alignment horizontal="center" vertical="center"/>
    </xf>
    <xf numFmtId="3" fontId="14" fillId="0" borderId="2" xfId="0" applyNumberFormat="1" applyFont="1" applyBorder="1" applyAlignment="1">
      <alignment horizontal="left" vertical="center"/>
    </xf>
    <xf numFmtId="3" fontId="35" fillId="0" borderId="0" xfId="0" applyNumberFormat="1" applyFont="1" applyAlignment="1">
      <alignment horizontal="right" vertical="center" wrapText="1"/>
    </xf>
    <xf numFmtId="165" fontId="14" fillId="0" borderId="2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vertical="center"/>
    </xf>
    <xf numFmtId="3" fontId="14" fillId="0" borderId="7" xfId="0" applyNumberFormat="1" applyFont="1" applyFill="1" applyBorder="1" applyAlignment="1">
      <alignment horizontal="center" vertical="center"/>
    </xf>
    <xf numFmtId="17" fontId="14" fillId="0" borderId="7" xfId="0" applyNumberFormat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vertical="center"/>
    </xf>
    <xf numFmtId="3" fontId="14" fillId="4" borderId="7" xfId="0" applyNumberFormat="1" applyFont="1" applyFill="1" applyBorder="1" applyAlignment="1">
      <alignment horizontal="center" vertical="center"/>
    </xf>
    <xf numFmtId="17" fontId="14" fillId="4" borderId="7" xfId="0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3" fontId="14" fillId="0" borderId="7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3" fontId="14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2" xfId="2" applyFont="1" applyBorder="1" applyAlignment="1">
      <alignment horizontal="center" vertical="center"/>
    </xf>
    <xf numFmtId="0" fontId="14" fillId="0" borderId="2" xfId="2" applyFont="1" applyBorder="1" applyAlignment="1">
      <alignment vertical="center"/>
    </xf>
    <xf numFmtId="165" fontId="14" fillId="0" borderId="2" xfId="2" applyNumberFormat="1" applyFont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165" fontId="14" fillId="0" borderId="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3" fontId="35" fillId="0" borderId="0" xfId="0" applyNumberFormat="1" applyFont="1" applyAlignment="1">
      <alignment vertical="center"/>
    </xf>
    <xf numFmtId="3" fontId="14" fillId="0" borderId="2" xfId="0" applyNumberFormat="1" applyFont="1" applyBorder="1" applyAlignment="1">
      <alignment horizontal="left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vertical="center"/>
    </xf>
    <xf numFmtId="3" fontId="14" fillId="0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0" fontId="31" fillId="3" borderId="3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0" fontId="14" fillId="0" borderId="7" xfId="0" applyFont="1" applyFill="1" applyBorder="1" applyAlignment="1">
      <alignment horizontal="left" vertical="center"/>
    </xf>
    <xf numFmtId="3" fontId="0" fillId="0" borderId="0" xfId="0" applyNumberFormat="1" applyAlignment="1">
      <alignment vertical="center"/>
    </xf>
    <xf numFmtId="0" fontId="14" fillId="0" borderId="27" xfId="0" applyFont="1" applyBorder="1" applyAlignment="1">
      <alignment horizontal="left" vertical="center"/>
    </xf>
    <xf numFmtId="0" fontId="14" fillId="0" borderId="27" xfId="0" applyFont="1" applyBorder="1" applyAlignment="1">
      <alignment horizontal="center" vertical="center"/>
    </xf>
    <xf numFmtId="3" fontId="33" fillId="0" borderId="27" xfId="0" applyNumberFormat="1" applyFont="1" applyBorder="1" applyAlignment="1">
      <alignment horizontal="center" vertical="center"/>
    </xf>
    <xf numFmtId="3" fontId="33" fillId="0" borderId="27" xfId="0" applyNumberFormat="1" applyFont="1" applyBorder="1" applyAlignment="1">
      <alignment horizontal="center" vertical="center" wrapText="1"/>
    </xf>
    <xf numFmtId="3" fontId="33" fillId="0" borderId="2" xfId="0" applyNumberFormat="1" applyFont="1" applyFill="1" applyBorder="1" applyAlignment="1">
      <alignment horizontal="center" vertical="center" wrapText="1"/>
    </xf>
    <xf numFmtId="17" fontId="33" fillId="0" borderId="8" xfId="0" applyNumberFormat="1" applyFont="1" applyFill="1" applyBorder="1" applyAlignment="1">
      <alignment horizontal="center" vertical="center"/>
    </xf>
    <xf numFmtId="8" fontId="14" fillId="0" borderId="2" xfId="0" applyNumberFormat="1" applyFont="1" applyFill="1" applyBorder="1" applyAlignment="1">
      <alignment vertical="center"/>
    </xf>
    <xf numFmtId="0" fontId="16" fillId="0" borderId="0" xfId="2" applyFont="1" applyFill="1" applyAlignment="1">
      <alignment vertical="center"/>
    </xf>
    <xf numFmtId="0" fontId="0" fillId="0" borderId="0" xfId="0" applyFont="1"/>
    <xf numFmtId="4" fontId="1" fillId="0" borderId="0" xfId="0" applyNumberFormat="1" applyFont="1"/>
    <xf numFmtId="4" fontId="16" fillId="0" borderId="0" xfId="0" applyNumberFormat="1" applyFont="1" applyAlignment="1">
      <alignment vertical="center"/>
    </xf>
    <xf numFmtId="0" fontId="14" fillId="4" borderId="2" xfId="2" applyFont="1" applyFill="1" applyBorder="1" applyAlignment="1">
      <alignment horizontal="center" vertical="center"/>
    </xf>
    <xf numFmtId="0" fontId="14" fillId="4" borderId="2" xfId="2" applyFont="1" applyFill="1" applyBorder="1" applyAlignment="1">
      <alignment vertical="center"/>
    </xf>
    <xf numFmtId="3" fontId="14" fillId="4" borderId="2" xfId="2" applyNumberFormat="1" applyFont="1" applyFill="1" applyBorder="1" applyAlignment="1">
      <alignment horizontal="left" vertical="center"/>
    </xf>
    <xf numFmtId="3" fontId="14" fillId="4" borderId="2" xfId="2" applyNumberFormat="1" applyFont="1" applyFill="1" applyBorder="1" applyAlignment="1">
      <alignment horizontal="center" vertical="center"/>
    </xf>
    <xf numFmtId="165" fontId="14" fillId="4" borderId="2" xfId="2" applyNumberFormat="1" applyFont="1" applyFill="1" applyBorder="1" applyAlignment="1">
      <alignment horizontal="center" vertical="center"/>
    </xf>
    <xf numFmtId="0" fontId="14" fillId="4" borderId="2" xfId="2" applyFont="1" applyFill="1" applyBorder="1" applyAlignment="1">
      <alignment horizontal="left" vertical="center"/>
    </xf>
    <xf numFmtId="3" fontId="15" fillId="0" borderId="2" xfId="0" applyNumberFormat="1" applyFont="1" applyBorder="1" applyAlignment="1">
      <alignment vertical="center"/>
    </xf>
    <xf numFmtId="0" fontId="16" fillId="0" borderId="0" xfId="0" applyFont="1" applyFill="1" applyAlignment="1">
      <alignment vertical="center"/>
    </xf>
    <xf numFmtId="0" fontId="15" fillId="0" borderId="2" xfId="0" applyFont="1" applyBorder="1" applyAlignment="1">
      <alignment horizontal="right" vertical="center"/>
    </xf>
    <xf numFmtId="3" fontId="15" fillId="0" borderId="2" xfId="0" applyNumberFormat="1" applyFont="1" applyBorder="1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/>
    </xf>
    <xf numFmtId="0" fontId="15" fillId="0" borderId="8" xfId="0" applyFont="1" applyBorder="1" applyAlignment="1">
      <alignment horizontal="right" vertical="center"/>
    </xf>
    <xf numFmtId="0" fontId="31" fillId="3" borderId="3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right" vertical="center"/>
    </xf>
    <xf numFmtId="0" fontId="31" fillId="3" borderId="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right" vertical="center"/>
    </xf>
    <xf numFmtId="0" fontId="38" fillId="0" borderId="3" xfId="0" applyFont="1" applyBorder="1" applyAlignment="1">
      <alignment horizontal="right" vertical="center"/>
    </xf>
    <xf numFmtId="0" fontId="38" fillId="0" borderId="4" xfId="0" applyFont="1" applyBorder="1" applyAlignment="1">
      <alignment horizontal="right" vertical="center"/>
    </xf>
    <xf numFmtId="0" fontId="38" fillId="0" borderId="8" xfId="0" applyFont="1" applyBorder="1" applyAlignment="1">
      <alignment horizontal="right" vertical="center"/>
    </xf>
    <xf numFmtId="0" fontId="38" fillId="0" borderId="12" xfId="0" applyFont="1" applyBorder="1" applyAlignment="1">
      <alignment horizontal="right" vertical="center"/>
    </xf>
    <xf numFmtId="0" fontId="38" fillId="0" borderId="1" xfId="0" applyFont="1" applyBorder="1" applyAlignment="1">
      <alignment horizontal="right" vertical="center"/>
    </xf>
    <xf numFmtId="0" fontId="38" fillId="0" borderId="13" xfId="0" applyFont="1" applyBorder="1" applyAlignment="1">
      <alignment horizontal="right" vertical="center"/>
    </xf>
    <xf numFmtId="0" fontId="38" fillId="0" borderId="17" xfId="0" applyFont="1" applyBorder="1" applyAlignment="1">
      <alignment horizontal="right" vertical="center"/>
    </xf>
    <xf numFmtId="0" fontId="38" fillId="0" borderId="18" xfId="0" applyFont="1" applyBorder="1" applyAlignment="1">
      <alignment horizontal="right" vertical="center"/>
    </xf>
    <xf numFmtId="0" fontId="38" fillId="0" borderId="19" xfId="0" applyFont="1" applyBorder="1" applyAlignment="1">
      <alignment horizontal="right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left" vertical="center"/>
    </xf>
    <xf numFmtId="0" fontId="46" fillId="0" borderId="0" xfId="0" applyFont="1" applyAlignment="1">
      <alignment horizont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41" fillId="3" borderId="26" xfId="0" applyFont="1" applyFill="1" applyBorder="1" applyAlignment="1">
      <alignment horizontal="left" vertical="center"/>
    </xf>
  </cellXfs>
  <cellStyles count="15">
    <cellStyle name="Moneda" xfId="1" builtinId="4"/>
    <cellStyle name="Moneda 2" xfId="3" xr:uid="{FFF35358-769D-42B4-AD01-63737015548C}"/>
    <cellStyle name="Moneda 2 2" xfId="6" xr:uid="{51032BB2-F401-45FA-A6B2-FEE872AE8CC0}"/>
    <cellStyle name="Moneda 2 2 2" xfId="10" xr:uid="{B5FF4A14-EF96-4D49-8317-7D9F19F8CE87}"/>
    <cellStyle name="Moneda 2 2 3" xfId="14" xr:uid="{1AB63616-00B3-4546-878F-5387239B8EF5}"/>
    <cellStyle name="Moneda 2 3" xfId="8" xr:uid="{79EEB431-7CA5-40B4-97D9-6CA788E7B72F}"/>
    <cellStyle name="Moneda 2 4" xfId="12" xr:uid="{229C42C8-FB1F-4905-A29E-73925839F51B}"/>
    <cellStyle name="Moneda 3" xfId="5" xr:uid="{7F9AFBE0-F67B-47E9-98A6-6D13A325ECC9}"/>
    <cellStyle name="Moneda 3 2" xfId="9" xr:uid="{036C200D-117B-4BB4-B7A2-703C7408E35D}"/>
    <cellStyle name="Moneda 3 3" xfId="13" xr:uid="{7054BF7B-832E-4C87-BD15-B444142586AC}"/>
    <cellStyle name="Moneda 4" xfId="7" xr:uid="{19A6770C-970D-4F60-9807-6CB87992F426}"/>
    <cellStyle name="Moneda 5" xfId="11" xr:uid="{50785546-064E-4905-8FE6-19C18BB6B222}"/>
    <cellStyle name="Normal" xfId="0" builtinId="0"/>
    <cellStyle name="Normal 2" xfId="2" xr:uid="{49D2A1A7-CC77-4D20-B0E3-2566FCA2B05F}"/>
    <cellStyle name="Normal 2 2" xfId="4" xr:uid="{A584367E-F6E8-49D3-AAFB-DCB3F1095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03D6-2377-44FC-B40E-C32EAC8A6BE7}">
  <dimension ref="A1:Q131"/>
  <sheetViews>
    <sheetView tabSelected="1" zoomScale="80" zoomScaleNormal="80" workbookViewId="0">
      <selection activeCell="C20" sqref="C20"/>
    </sheetView>
  </sheetViews>
  <sheetFormatPr baseColWidth="10" defaultColWidth="11.42578125" defaultRowHeight="15"/>
  <cols>
    <col min="1" max="1" width="4" style="7" customWidth="1"/>
    <col min="2" max="2" width="21.140625" style="7" bestFit="1" customWidth="1"/>
    <col min="3" max="3" width="23.140625" style="7" bestFit="1" customWidth="1"/>
    <col min="4" max="4" width="34.85546875" style="7" bestFit="1" customWidth="1"/>
    <col min="5" max="5" width="20" style="7" bestFit="1" customWidth="1"/>
    <col min="6" max="6" width="10.140625" style="7" customWidth="1"/>
    <col min="7" max="7" width="11.5703125" style="7" bestFit="1" customWidth="1"/>
    <col min="8" max="8" width="23.28515625" style="7" bestFit="1" customWidth="1"/>
    <col min="9" max="9" width="13" style="7" bestFit="1" customWidth="1"/>
    <col min="10" max="10" width="29.42578125" style="7" bestFit="1" customWidth="1"/>
    <col min="11" max="11" width="12.85546875" style="7" bestFit="1" customWidth="1"/>
    <col min="12" max="12" width="23.42578125" style="7" customWidth="1"/>
    <col min="13" max="13" width="45.28515625" style="7" customWidth="1"/>
    <col min="14" max="14" width="11.140625" style="7" customWidth="1"/>
    <col min="15" max="15" width="9.5703125" style="7" customWidth="1"/>
    <col min="16" max="16" width="8.140625" style="7" customWidth="1"/>
    <col min="17" max="16384" width="11.42578125" style="7"/>
  </cols>
  <sheetData>
    <row r="1" spans="1:17">
      <c r="A1" s="1"/>
      <c r="B1" s="2"/>
      <c r="C1" s="3"/>
      <c r="D1" s="3"/>
      <c r="E1" s="3"/>
      <c r="F1" s="3"/>
      <c r="G1" s="4"/>
      <c r="H1" s="3"/>
      <c r="I1" s="5"/>
      <c r="J1" s="3"/>
      <c r="K1" s="6"/>
      <c r="L1" s="3"/>
      <c r="M1" s="3"/>
      <c r="N1" s="3"/>
      <c r="O1" s="3"/>
      <c r="P1" s="6"/>
    </row>
    <row r="2" spans="1:17" s="8" customFormat="1" ht="20.25">
      <c r="A2" s="265" t="s">
        <v>0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</row>
    <row r="3" spans="1:17" s="9" customFormat="1" ht="18">
      <c r="A3" s="266" t="s">
        <v>176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</row>
    <row r="4" spans="1:17" s="15" customFormat="1" ht="15.75" customHeight="1">
      <c r="A4" s="10"/>
      <c r="B4" s="11" t="s">
        <v>2</v>
      </c>
      <c r="C4" s="11" t="s">
        <v>177</v>
      </c>
      <c r="D4" s="12" t="s">
        <v>178</v>
      </c>
      <c r="E4" s="11" t="s">
        <v>5</v>
      </c>
      <c r="F4" s="11" t="s">
        <v>179</v>
      </c>
      <c r="G4" s="13" t="s">
        <v>180</v>
      </c>
      <c r="H4" s="11" t="s">
        <v>181</v>
      </c>
      <c r="I4" s="14" t="s">
        <v>182</v>
      </c>
      <c r="J4" s="11" t="s">
        <v>183</v>
      </c>
      <c r="K4" s="11" t="s">
        <v>184</v>
      </c>
      <c r="L4" s="11" t="s">
        <v>185</v>
      </c>
      <c r="M4" s="11" t="s">
        <v>10</v>
      </c>
      <c r="N4" s="11" t="s">
        <v>444</v>
      </c>
      <c r="O4" s="11" t="s">
        <v>186</v>
      </c>
      <c r="P4" s="13" t="s">
        <v>187</v>
      </c>
    </row>
    <row r="5" spans="1:17" s="20" customFormat="1" ht="19.5" customHeight="1">
      <c r="A5" s="16" t="s">
        <v>12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8"/>
      <c r="P5" s="17"/>
      <c r="Q5" s="19"/>
    </row>
    <row r="6" spans="1:17" s="214" customFormat="1" ht="13.5">
      <c r="A6" s="210">
        <v>1</v>
      </c>
      <c r="B6" s="211" t="s">
        <v>13</v>
      </c>
      <c r="C6" s="211" t="s">
        <v>409</v>
      </c>
      <c r="D6" s="211" t="s">
        <v>15</v>
      </c>
      <c r="E6" s="210" t="s">
        <v>16</v>
      </c>
      <c r="F6" s="212">
        <f>G6/10.764</f>
        <v>16719.620958751395</v>
      </c>
      <c r="G6" s="212">
        <v>179970</v>
      </c>
      <c r="H6" s="210" t="s">
        <v>14</v>
      </c>
      <c r="I6" s="21" t="s">
        <v>406</v>
      </c>
      <c r="J6" s="210" t="s">
        <v>201</v>
      </c>
      <c r="K6" s="210">
        <v>10</v>
      </c>
      <c r="L6" s="211" t="s">
        <v>193</v>
      </c>
      <c r="M6" s="211" t="s">
        <v>228</v>
      </c>
      <c r="N6" s="211"/>
      <c r="O6" s="213" t="s">
        <v>195</v>
      </c>
      <c r="P6" s="210" t="s">
        <v>17</v>
      </c>
    </row>
    <row r="7" spans="1:17" s="214" customFormat="1" ht="13.5">
      <c r="A7" s="210">
        <v>2</v>
      </c>
      <c r="B7" s="211" t="s">
        <v>13</v>
      </c>
      <c r="C7" s="211" t="s">
        <v>481</v>
      </c>
      <c r="D7" s="211" t="s">
        <v>542</v>
      </c>
      <c r="E7" s="210" t="s">
        <v>541</v>
      </c>
      <c r="F7" s="212">
        <f>G7/10.764</f>
        <v>19199.832775919735</v>
      </c>
      <c r="G7" s="212">
        <v>206667</v>
      </c>
      <c r="H7" s="210" t="s">
        <v>155</v>
      </c>
      <c r="I7" s="21" t="s">
        <v>477</v>
      </c>
      <c r="J7" s="210" t="s">
        <v>201</v>
      </c>
      <c r="K7" s="210">
        <v>1</v>
      </c>
      <c r="L7" s="211" t="s">
        <v>484</v>
      </c>
      <c r="M7" s="211" t="s">
        <v>194</v>
      </c>
      <c r="N7" s="211"/>
      <c r="O7" s="213" t="s">
        <v>213</v>
      </c>
      <c r="P7" s="210" t="s">
        <v>38</v>
      </c>
    </row>
    <row r="8" spans="1:17" s="214" customFormat="1" ht="13.5">
      <c r="A8" s="210">
        <v>3</v>
      </c>
      <c r="B8" s="211" t="s">
        <v>13</v>
      </c>
      <c r="C8" s="211" t="s">
        <v>280</v>
      </c>
      <c r="D8" s="211" t="s">
        <v>542</v>
      </c>
      <c r="E8" s="210" t="s">
        <v>541</v>
      </c>
      <c r="F8" s="212">
        <f>G8/10.764</f>
        <v>6399.9442586399109</v>
      </c>
      <c r="G8" s="212">
        <v>68889</v>
      </c>
      <c r="H8" s="210" t="s">
        <v>152</v>
      </c>
      <c r="I8" s="21" t="s">
        <v>506</v>
      </c>
      <c r="J8" s="210" t="s">
        <v>201</v>
      </c>
      <c r="K8" s="210" t="s">
        <v>258</v>
      </c>
      <c r="L8" s="211"/>
      <c r="M8" s="211"/>
      <c r="N8" s="211"/>
      <c r="O8" s="213"/>
      <c r="P8" s="210" t="s">
        <v>38</v>
      </c>
    </row>
    <row r="9" spans="1:17" s="179" customFormat="1" ht="13.5">
      <c r="A9" s="210">
        <v>4</v>
      </c>
      <c r="B9" s="211" t="s">
        <v>13</v>
      </c>
      <c r="C9" s="211" t="s">
        <v>188</v>
      </c>
      <c r="D9" s="211" t="s">
        <v>189</v>
      </c>
      <c r="E9" s="210" t="s">
        <v>140</v>
      </c>
      <c r="F9" s="212">
        <f t="shared" ref="F9:F40" si="0">G9/10.764</f>
        <v>4645.1133407655152</v>
      </c>
      <c r="G9" s="212">
        <v>50000</v>
      </c>
      <c r="H9" s="210" t="s">
        <v>190</v>
      </c>
      <c r="I9" s="21" t="s">
        <v>191</v>
      </c>
      <c r="J9" s="210" t="s">
        <v>192</v>
      </c>
      <c r="K9" s="210">
        <v>5</v>
      </c>
      <c r="L9" s="211" t="s">
        <v>193</v>
      </c>
      <c r="M9" s="211" t="s">
        <v>194</v>
      </c>
      <c r="N9" s="211"/>
      <c r="O9" s="213" t="s">
        <v>195</v>
      </c>
      <c r="P9" s="210" t="s">
        <v>17</v>
      </c>
      <c r="Q9" s="214"/>
    </row>
    <row r="10" spans="1:17" s="214" customFormat="1" ht="13.5">
      <c r="A10" s="210">
        <v>5</v>
      </c>
      <c r="B10" s="211" t="s">
        <v>13</v>
      </c>
      <c r="C10" s="211" t="s">
        <v>196</v>
      </c>
      <c r="D10" s="211" t="s">
        <v>189</v>
      </c>
      <c r="E10" s="210" t="s">
        <v>140</v>
      </c>
      <c r="F10" s="212">
        <f>G10/10.764</f>
        <v>8898.4578223708668</v>
      </c>
      <c r="G10" s="212">
        <v>95783</v>
      </c>
      <c r="H10" s="210" t="s">
        <v>197</v>
      </c>
      <c r="I10" s="21" t="s">
        <v>198</v>
      </c>
      <c r="J10" s="210" t="s">
        <v>199</v>
      </c>
      <c r="K10" s="210">
        <v>5</v>
      </c>
      <c r="L10" s="211" t="s">
        <v>193</v>
      </c>
      <c r="M10" s="211" t="s">
        <v>438</v>
      </c>
      <c r="N10" s="211" t="s">
        <v>435</v>
      </c>
      <c r="O10" s="213" t="s">
        <v>195</v>
      </c>
      <c r="P10" s="210" t="s">
        <v>17</v>
      </c>
    </row>
    <row r="11" spans="1:17" s="179" customFormat="1" ht="13.5">
      <c r="A11" s="210">
        <v>6</v>
      </c>
      <c r="B11" s="211" t="s">
        <v>13</v>
      </c>
      <c r="C11" s="211" t="s">
        <v>200</v>
      </c>
      <c r="D11" s="211" t="s">
        <v>23</v>
      </c>
      <c r="E11" s="210" t="s">
        <v>24</v>
      </c>
      <c r="F11" s="212">
        <f t="shared" si="0"/>
        <v>8000.0000000000009</v>
      </c>
      <c r="G11" s="212">
        <v>86112</v>
      </c>
      <c r="H11" s="210" t="s">
        <v>22</v>
      </c>
      <c r="I11" s="21" t="s">
        <v>191</v>
      </c>
      <c r="J11" s="210" t="s">
        <v>201</v>
      </c>
      <c r="K11" s="210">
        <v>7</v>
      </c>
      <c r="L11" s="211" t="s">
        <v>193</v>
      </c>
      <c r="M11" s="211" t="s">
        <v>194</v>
      </c>
      <c r="N11" s="211"/>
      <c r="O11" s="213" t="s">
        <v>195</v>
      </c>
      <c r="P11" s="210" t="s">
        <v>17</v>
      </c>
      <c r="Q11" s="214"/>
    </row>
    <row r="12" spans="1:17" s="23" customFormat="1" ht="13.5">
      <c r="A12" s="210">
        <v>7</v>
      </c>
      <c r="B12" s="211" t="s">
        <v>13</v>
      </c>
      <c r="C12" s="211" t="s">
        <v>202</v>
      </c>
      <c r="D12" s="211" t="s">
        <v>203</v>
      </c>
      <c r="E12" s="210" t="s">
        <v>117</v>
      </c>
      <c r="F12" s="212">
        <f t="shared" si="0"/>
        <v>21981.791155704199</v>
      </c>
      <c r="G12" s="212">
        <v>236612</v>
      </c>
      <c r="H12" s="210" t="s">
        <v>204</v>
      </c>
      <c r="I12" s="21" t="s">
        <v>205</v>
      </c>
      <c r="J12" s="210" t="s">
        <v>192</v>
      </c>
      <c r="K12" s="210">
        <v>5</v>
      </c>
      <c r="L12" s="211" t="s">
        <v>211</v>
      </c>
      <c r="M12" s="211" t="s">
        <v>194</v>
      </c>
      <c r="N12" s="211"/>
      <c r="O12" s="213" t="s">
        <v>195</v>
      </c>
      <c r="P12" s="210" t="s">
        <v>17</v>
      </c>
      <c r="Q12" s="214"/>
    </row>
    <row r="13" spans="1:17" s="179" customFormat="1" ht="13.5">
      <c r="A13" s="210">
        <v>8</v>
      </c>
      <c r="B13" s="211" t="s">
        <v>13</v>
      </c>
      <c r="C13" s="211" t="s">
        <v>421</v>
      </c>
      <c r="D13" s="211" t="s">
        <v>203</v>
      </c>
      <c r="E13" s="210" t="s">
        <v>117</v>
      </c>
      <c r="F13" s="212">
        <f t="shared" si="0"/>
        <v>46755.016722408029</v>
      </c>
      <c r="G13" s="212">
        <v>503271</v>
      </c>
      <c r="H13" s="210" t="s">
        <v>206</v>
      </c>
      <c r="I13" s="21" t="s">
        <v>191</v>
      </c>
      <c r="J13" s="210" t="s">
        <v>207</v>
      </c>
      <c r="K13" s="210">
        <v>10</v>
      </c>
      <c r="L13" s="211" t="s">
        <v>193</v>
      </c>
      <c r="M13" s="211" t="s">
        <v>194</v>
      </c>
      <c r="N13" s="211"/>
      <c r="O13" s="213" t="s">
        <v>195</v>
      </c>
      <c r="P13" s="210" t="s">
        <v>17</v>
      </c>
      <c r="Q13" s="214"/>
    </row>
    <row r="14" spans="1:17" s="214" customFormat="1" ht="13.5">
      <c r="A14" s="210">
        <v>9</v>
      </c>
      <c r="B14" s="211" t="s">
        <v>13</v>
      </c>
      <c r="C14" s="211" t="s">
        <v>411</v>
      </c>
      <c r="D14" s="211" t="s">
        <v>31</v>
      </c>
      <c r="E14" s="210" t="s">
        <v>32</v>
      </c>
      <c r="F14" s="212">
        <f t="shared" si="0"/>
        <v>12275.17651430695</v>
      </c>
      <c r="G14" s="212">
        <v>132130</v>
      </c>
      <c r="H14" s="210" t="s">
        <v>30</v>
      </c>
      <c r="I14" s="21" t="s">
        <v>406</v>
      </c>
      <c r="J14" s="210" t="s">
        <v>244</v>
      </c>
      <c r="K14" s="210">
        <v>5</v>
      </c>
      <c r="L14" s="211" t="s">
        <v>193</v>
      </c>
      <c r="M14" s="211" t="s">
        <v>194</v>
      </c>
      <c r="N14" s="211"/>
      <c r="O14" s="213" t="s">
        <v>195</v>
      </c>
      <c r="P14" s="210" t="s">
        <v>17</v>
      </c>
    </row>
    <row r="15" spans="1:17" s="179" customFormat="1" ht="13.5">
      <c r="A15" s="210">
        <v>10</v>
      </c>
      <c r="B15" s="211" t="s">
        <v>13</v>
      </c>
      <c r="C15" s="211" t="s">
        <v>208</v>
      </c>
      <c r="D15" s="211" t="s">
        <v>43</v>
      </c>
      <c r="E15" s="210" t="s">
        <v>209</v>
      </c>
      <c r="F15" s="212">
        <f t="shared" si="0"/>
        <v>1706.9862504645114</v>
      </c>
      <c r="G15" s="212">
        <v>18374</v>
      </c>
      <c r="H15" s="210" t="s">
        <v>210</v>
      </c>
      <c r="I15" s="21" t="s">
        <v>191</v>
      </c>
      <c r="J15" s="210" t="s">
        <v>199</v>
      </c>
      <c r="K15" s="210">
        <v>5</v>
      </c>
      <c r="L15" s="211" t="s">
        <v>211</v>
      </c>
      <c r="M15" s="211" t="s">
        <v>212</v>
      </c>
      <c r="N15" s="211"/>
      <c r="O15" s="213" t="s">
        <v>213</v>
      </c>
      <c r="P15" s="210" t="s">
        <v>17</v>
      </c>
      <c r="Q15" s="214"/>
    </row>
    <row r="16" spans="1:17" s="179" customFormat="1" ht="13.5">
      <c r="A16" s="210">
        <v>11</v>
      </c>
      <c r="B16" s="211" t="s">
        <v>13</v>
      </c>
      <c r="C16" s="211" t="s">
        <v>214</v>
      </c>
      <c r="D16" s="211" t="s">
        <v>43</v>
      </c>
      <c r="E16" s="210" t="s">
        <v>209</v>
      </c>
      <c r="F16" s="212">
        <f t="shared" si="0"/>
        <v>1645.9494611668526</v>
      </c>
      <c r="G16" s="212">
        <v>17717</v>
      </c>
      <c r="H16" s="210" t="s">
        <v>215</v>
      </c>
      <c r="I16" s="21" t="s">
        <v>216</v>
      </c>
      <c r="J16" s="210" t="s">
        <v>199</v>
      </c>
      <c r="K16" s="210">
        <v>5</v>
      </c>
      <c r="L16" s="211" t="s">
        <v>211</v>
      </c>
      <c r="M16" s="211" t="s">
        <v>212</v>
      </c>
      <c r="N16" s="211"/>
      <c r="O16" s="213" t="s">
        <v>213</v>
      </c>
      <c r="P16" s="210" t="s">
        <v>17</v>
      </c>
      <c r="Q16" s="214"/>
    </row>
    <row r="17" spans="1:17" s="214" customFormat="1" ht="13.5">
      <c r="A17" s="210">
        <v>12</v>
      </c>
      <c r="B17" s="211" t="s">
        <v>13</v>
      </c>
      <c r="C17" s="211" t="s">
        <v>412</v>
      </c>
      <c r="D17" s="211" t="s">
        <v>43</v>
      </c>
      <c r="E17" s="210" t="s">
        <v>71</v>
      </c>
      <c r="F17" s="212">
        <f t="shared" si="0"/>
        <v>9285.9531772575265</v>
      </c>
      <c r="G17" s="212">
        <v>99954</v>
      </c>
      <c r="H17" s="210" t="s">
        <v>312</v>
      </c>
      <c r="I17" s="21" t="s">
        <v>406</v>
      </c>
      <c r="J17" s="210" t="s">
        <v>550</v>
      </c>
      <c r="K17" s="210">
        <v>3</v>
      </c>
      <c r="L17" s="211" t="s">
        <v>211</v>
      </c>
      <c r="M17" s="211" t="s">
        <v>425</v>
      </c>
      <c r="N17" s="211"/>
      <c r="O17" s="213" t="s">
        <v>195</v>
      </c>
      <c r="P17" s="210" t="s">
        <v>17</v>
      </c>
    </row>
    <row r="18" spans="1:17" s="214" customFormat="1" ht="13.5">
      <c r="A18" s="210">
        <v>13</v>
      </c>
      <c r="B18" s="211" t="s">
        <v>13</v>
      </c>
      <c r="C18" s="211" t="s">
        <v>412</v>
      </c>
      <c r="D18" s="211" t="s">
        <v>43</v>
      </c>
      <c r="E18" s="210" t="s">
        <v>71</v>
      </c>
      <c r="F18" s="212">
        <f t="shared" si="0"/>
        <v>28077.945001858046</v>
      </c>
      <c r="G18" s="212">
        <v>302231</v>
      </c>
      <c r="H18" s="210" t="s">
        <v>313</v>
      </c>
      <c r="I18" s="21" t="s">
        <v>406</v>
      </c>
      <c r="J18" s="210" t="s">
        <v>550</v>
      </c>
      <c r="K18" s="210">
        <v>3</v>
      </c>
      <c r="L18" s="211" t="s">
        <v>211</v>
      </c>
      <c r="M18" s="211" t="s">
        <v>425</v>
      </c>
      <c r="N18" s="211"/>
      <c r="O18" s="213" t="s">
        <v>195</v>
      </c>
      <c r="P18" s="210" t="s">
        <v>17</v>
      </c>
    </row>
    <row r="19" spans="1:17" s="193" customFormat="1" ht="13.5">
      <c r="A19" s="210">
        <v>14</v>
      </c>
      <c r="B19" s="211" t="s">
        <v>13</v>
      </c>
      <c r="C19" s="211" t="s">
        <v>217</v>
      </c>
      <c r="D19" s="211" t="s">
        <v>56</v>
      </c>
      <c r="E19" s="210" t="s">
        <v>49</v>
      </c>
      <c r="F19" s="212">
        <f t="shared" si="0"/>
        <v>1435.9903381642514</v>
      </c>
      <c r="G19" s="212">
        <v>15457</v>
      </c>
      <c r="H19" s="210" t="s">
        <v>218</v>
      </c>
      <c r="I19" s="21" t="s">
        <v>219</v>
      </c>
      <c r="J19" s="210" t="s">
        <v>201</v>
      </c>
      <c r="K19" s="210">
        <v>10</v>
      </c>
      <c r="L19" s="211" t="s">
        <v>211</v>
      </c>
      <c r="M19" s="211" t="s">
        <v>194</v>
      </c>
      <c r="N19" s="211"/>
      <c r="O19" s="213" t="s">
        <v>213</v>
      </c>
      <c r="P19" s="210" t="s">
        <v>17</v>
      </c>
      <c r="Q19" s="214"/>
    </row>
    <row r="20" spans="1:17" s="214" customFormat="1" ht="13.5">
      <c r="A20" s="210">
        <v>15</v>
      </c>
      <c r="B20" s="211" t="s">
        <v>13</v>
      </c>
      <c r="C20" s="211" t="s">
        <v>546</v>
      </c>
      <c r="D20" s="211" t="s">
        <v>56</v>
      </c>
      <c r="E20" s="210" t="s">
        <v>49</v>
      </c>
      <c r="F20" s="212">
        <f t="shared" si="0"/>
        <v>1435.9903381642514</v>
      </c>
      <c r="G20" s="212">
        <v>15457</v>
      </c>
      <c r="H20" s="210" t="s">
        <v>473</v>
      </c>
      <c r="I20" s="21" t="s">
        <v>406</v>
      </c>
      <c r="J20" s="210" t="s">
        <v>201</v>
      </c>
      <c r="K20" s="210" t="s">
        <v>258</v>
      </c>
      <c r="L20" s="211" t="s">
        <v>258</v>
      </c>
      <c r="M20" s="211" t="s">
        <v>194</v>
      </c>
      <c r="N20" s="211"/>
      <c r="O20" s="213" t="s">
        <v>213</v>
      </c>
      <c r="P20" s="210" t="s">
        <v>17</v>
      </c>
    </row>
    <row r="21" spans="1:17" s="214" customFormat="1" ht="13.5">
      <c r="A21" s="210">
        <v>16</v>
      </c>
      <c r="B21" s="211" t="s">
        <v>13</v>
      </c>
      <c r="C21" s="211" t="s">
        <v>521</v>
      </c>
      <c r="D21" s="211" t="s">
        <v>520</v>
      </c>
      <c r="E21" s="210" t="s">
        <v>49</v>
      </c>
      <c r="F21" s="212">
        <f t="shared" si="0"/>
        <v>1212.0029728725381</v>
      </c>
      <c r="G21" s="212">
        <v>13046</v>
      </c>
      <c r="H21" s="210" t="s">
        <v>528</v>
      </c>
      <c r="I21" s="21" t="s">
        <v>406</v>
      </c>
      <c r="J21" s="210" t="s">
        <v>408</v>
      </c>
      <c r="K21" s="210">
        <v>10</v>
      </c>
      <c r="L21" s="211" t="s">
        <v>422</v>
      </c>
      <c r="M21" s="211" t="s">
        <v>228</v>
      </c>
      <c r="N21" s="211"/>
      <c r="O21" s="213" t="s">
        <v>213</v>
      </c>
      <c r="P21" s="210" t="s">
        <v>38</v>
      </c>
    </row>
    <row r="22" spans="1:17" s="214" customFormat="1" ht="13.5">
      <c r="A22" s="210">
        <v>17</v>
      </c>
      <c r="B22" s="211" t="s">
        <v>13</v>
      </c>
      <c r="C22" s="211" t="s">
        <v>522</v>
      </c>
      <c r="D22" s="211" t="s">
        <v>48</v>
      </c>
      <c r="E22" s="210" t="s">
        <v>49</v>
      </c>
      <c r="F22" s="212">
        <f t="shared" si="0"/>
        <v>3108.9743589743593</v>
      </c>
      <c r="G22" s="212">
        <v>33465</v>
      </c>
      <c r="H22" s="210" t="s">
        <v>459</v>
      </c>
      <c r="I22" s="21" t="s">
        <v>406</v>
      </c>
      <c r="J22" s="210" t="s">
        <v>269</v>
      </c>
      <c r="K22" s="210" t="s">
        <v>258</v>
      </c>
      <c r="L22" s="211" t="s">
        <v>193</v>
      </c>
      <c r="M22" s="211" t="s">
        <v>228</v>
      </c>
      <c r="N22" s="211"/>
      <c r="O22" s="213" t="s">
        <v>195</v>
      </c>
      <c r="P22" s="210" t="s">
        <v>17</v>
      </c>
    </row>
    <row r="23" spans="1:17" s="179" customFormat="1" ht="13.5">
      <c r="A23" s="210">
        <v>18</v>
      </c>
      <c r="B23" s="211" t="s">
        <v>13</v>
      </c>
      <c r="C23" s="211" t="s">
        <v>220</v>
      </c>
      <c r="D23" s="211" t="s">
        <v>60</v>
      </c>
      <c r="E23" s="210" t="s">
        <v>61</v>
      </c>
      <c r="F23" s="212">
        <f t="shared" si="0"/>
        <v>2433.4819769602382</v>
      </c>
      <c r="G23" s="212">
        <v>26194</v>
      </c>
      <c r="H23" s="210" t="s">
        <v>221</v>
      </c>
      <c r="I23" s="21" t="s">
        <v>191</v>
      </c>
      <c r="J23" s="210" t="s">
        <v>199</v>
      </c>
      <c r="K23" s="210">
        <v>5</v>
      </c>
      <c r="L23" s="211" t="s">
        <v>193</v>
      </c>
      <c r="M23" s="211" t="s">
        <v>222</v>
      </c>
      <c r="N23" s="211"/>
      <c r="O23" s="213" t="s">
        <v>213</v>
      </c>
      <c r="P23" s="210" t="s">
        <v>38</v>
      </c>
      <c r="Q23" s="214"/>
    </row>
    <row r="24" spans="1:17" s="214" customFormat="1" ht="13.5">
      <c r="A24" s="210">
        <v>19</v>
      </c>
      <c r="B24" s="211" t="s">
        <v>13</v>
      </c>
      <c r="C24" s="211" t="s">
        <v>223</v>
      </c>
      <c r="D24" s="211" t="s">
        <v>60</v>
      </c>
      <c r="E24" s="210" t="s">
        <v>61</v>
      </c>
      <c r="F24" s="212">
        <f t="shared" si="0"/>
        <v>2028.985507246377</v>
      </c>
      <c r="G24" s="212">
        <v>21840</v>
      </c>
      <c r="H24" s="210" t="s">
        <v>62</v>
      </c>
      <c r="I24" s="21" t="s">
        <v>219</v>
      </c>
      <c r="J24" s="210" t="s">
        <v>199</v>
      </c>
      <c r="K24" s="210">
        <v>4</v>
      </c>
      <c r="L24" s="211" t="s">
        <v>193</v>
      </c>
      <c r="M24" s="211" t="s">
        <v>424</v>
      </c>
      <c r="N24" s="211"/>
      <c r="O24" s="213" t="s">
        <v>195</v>
      </c>
      <c r="P24" s="210" t="s">
        <v>38</v>
      </c>
    </row>
    <row r="25" spans="1:17" s="214" customFormat="1" ht="13.5">
      <c r="A25" s="210">
        <v>20</v>
      </c>
      <c r="B25" s="211" t="s">
        <v>13</v>
      </c>
      <c r="C25" s="211" t="s">
        <v>413</v>
      </c>
      <c r="D25" s="211" t="s">
        <v>414</v>
      </c>
      <c r="E25" s="210" t="s">
        <v>337</v>
      </c>
      <c r="F25" s="212">
        <f t="shared" si="0"/>
        <v>44128.019323671499</v>
      </c>
      <c r="G25" s="212">
        <v>474994</v>
      </c>
      <c r="H25" s="210" t="s">
        <v>236</v>
      </c>
      <c r="I25" s="21" t="s">
        <v>198</v>
      </c>
      <c r="J25" s="210" t="s">
        <v>269</v>
      </c>
      <c r="K25" s="210">
        <v>10</v>
      </c>
      <c r="L25" s="211" t="s">
        <v>211</v>
      </c>
      <c r="M25" s="211" t="s">
        <v>194</v>
      </c>
      <c r="N25" s="211"/>
      <c r="O25" s="213" t="s">
        <v>213</v>
      </c>
      <c r="P25" s="210" t="s">
        <v>17</v>
      </c>
    </row>
    <row r="26" spans="1:17" s="193" customFormat="1" ht="13.5">
      <c r="A26" s="210">
        <v>21</v>
      </c>
      <c r="B26" s="211" t="s">
        <v>13</v>
      </c>
      <c r="C26" s="211" t="s">
        <v>224</v>
      </c>
      <c r="D26" s="211" t="s">
        <v>73</v>
      </c>
      <c r="E26" s="210" t="s">
        <v>71</v>
      </c>
      <c r="F26" s="212">
        <f t="shared" si="0"/>
        <v>7025.9197324414718</v>
      </c>
      <c r="G26" s="212">
        <v>75627</v>
      </c>
      <c r="H26" s="210" t="s">
        <v>225</v>
      </c>
      <c r="I26" s="21" t="s">
        <v>226</v>
      </c>
      <c r="J26" s="210" t="s">
        <v>227</v>
      </c>
      <c r="K26" s="210">
        <v>5</v>
      </c>
      <c r="L26" s="211" t="s">
        <v>422</v>
      </c>
      <c r="M26" s="211" t="s">
        <v>420</v>
      </c>
      <c r="N26" s="211" t="s">
        <v>464</v>
      </c>
      <c r="O26" s="213" t="s">
        <v>195</v>
      </c>
      <c r="P26" s="210" t="s">
        <v>17</v>
      </c>
      <c r="Q26" s="214"/>
    </row>
    <row r="27" spans="1:17" s="193" customFormat="1" ht="13.5">
      <c r="A27" s="210">
        <v>22</v>
      </c>
      <c r="B27" s="211" t="s">
        <v>13</v>
      </c>
      <c r="C27" s="211" t="s">
        <v>229</v>
      </c>
      <c r="D27" s="211" t="s">
        <v>73</v>
      </c>
      <c r="E27" s="210" t="s">
        <v>71</v>
      </c>
      <c r="F27" s="212">
        <f t="shared" si="0"/>
        <v>3066.9825343738389</v>
      </c>
      <c r="G27" s="212">
        <v>33013</v>
      </c>
      <c r="H27" s="210" t="s">
        <v>230</v>
      </c>
      <c r="I27" s="21" t="s">
        <v>231</v>
      </c>
      <c r="J27" s="210" t="s">
        <v>201</v>
      </c>
      <c r="K27" s="210">
        <v>1</v>
      </c>
      <c r="L27" s="211" t="s">
        <v>211</v>
      </c>
      <c r="M27" s="211" t="s">
        <v>423</v>
      </c>
      <c r="N27" s="211" t="s">
        <v>467</v>
      </c>
      <c r="O27" s="213" t="s">
        <v>195</v>
      </c>
      <c r="P27" s="210" t="s">
        <v>17</v>
      </c>
      <c r="Q27" s="214"/>
    </row>
    <row r="28" spans="1:17" s="214" customFormat="1" ht="13.5">
      <c r="A28" s="210">
        <v>23</v>
      </c>
      <c r="B28" s="211" t="s">
        <v>13</v>
      </c>
      <c r="C28" s="211" t="s">
        <v>410</v>
      </c>
      <c r="D28" s="211" t="s">
        <v>76</v>
      </c>
      <c r="E28" s="210" t="s">
        <v>71</v>
      </c>
      <c r="F28" s="212">
        <f t="shared" si="0"/>
        <v>13838.721664808621</v>
      </c>
      <c r="G28" s="212">
        <v>148960</v>
      </c>
      <c r="H28" s="210" t="s">
        <v>75</v>
      </c>
      <c r="I28" s="21" t="s">
        <v>198</v>
      </c>
      <c r="J28" s="210" t="s">
        <v>199</v>
      </c>
      <c r="K28" s="210">
        <v>10</v>
      </c>
      <c r="L28" s="211" t="s">
        <v>193</v>
      </c>
      <c r="M28" s="211" t="s">
        <v>228</v>
      </c>
      <c r="N28" s="211" t="s">
        <v>464</v>
      </c>
      <c r="O28" s="213" t="s">
        <v>195</v>
      </c>
      <c r="P28" s="210" t="s">
        <v>17</v>
      </c>
    </row>
    <row r="29" spans="1:17" s="179" customFormat="1" ht="13.5">
      <c r="A29" s="210">
        <v>24</v>
      </c>
      <c r="B29" s="211" t="s">
        <v>13</v>
      </c>
      <c r="C29" s="211" t="s">
        <v>232</v>
      </c>
      <c r="D29" s="211" t="s">
        <v>78</v>
      </c>
      <c r="E29" s="210" t="s">
        <v>79</v>
      </c>
      <c r="F29" s="212">
        <f t="shared" si="0"/>
        <v>1037.9970271274619</v>
      </c>
      <c r="G29" s="212">
        <v>11173</v>
      </c>
      <c r="H29" s="210" t="s">
        <v>233</v>
      </c>
      <c r="I29" s="21" t="s">
        <v>216</v>
      </c>
      <c r="J29" s="210" t="s">
        <v>201</v>
      </c>
      <c r="K29" s="210">
        <v>3</v>
      </c>
      <c r="L29" s="211" t="s">
        <v>211</v>
      </c>
      <c r="M29" s="211" t="s">
        <v>194</v>
      </c>
      <c r="N29" s="211"/>
      <c r="O29" s="213" t="s">
        <v>213</v>
      </c>
      <c r="P29" s="210" t="s">
        <v>38</v>
      </c>
      <c r="Q29" s="214"/>
    </row>
    <row r="30" spans="1:17" s="214" customFormat="1" ht="13.5">
      <c r="A30" s="210">
        <v>25</v>
      </c>
      <c r="B30" s="211" t="s">
        <v>13</v>
      </c>
      <c r="C30" s="211" t="s">
        <v>468</v>
      </c>
      <c r="D30" s="211" t="s">
        <v>78</v>
      </c>
      <c r="E30" s="210" t="s">
        <v>79</v>
      </c>
      <c r="F30" s="212">
        <f t="shared" si="0"/>
        <v>4081.2894834633967</v>
      </c>
      <c r="G30" s="212">
        <v>43931</v>
      </c>
      <c r="H30" s="210" t="s">
        <v>469</v>
      </c>
      <c r="I30" s="21" t="s">
        <v>463</v>
      </c>
      <c r="J30" s="210" t="s">
        <v>470</v>
      </c>
      <c r="K30" s="210">
        <v>3</v>
      </c>
      <c r="L30" s="211" t="s">
        <v>193</v>
      </c>
      <c r="M30" s="211" t="s">
        <v>194</v>
      </c>
      <c r="N30" s="211" t="s">
        <v>446</v>
      </c>
      <c r="O30" s="213" t="s">
        <v>195</v>
      </c>
      <c r="P30" s="210" t="s">
        <v>17</v>
      </c>
    </row>
    <row r="31" spans="1:17" s="214" customFormat="1" ht="13.5">
      <c r="A31" s="210">
        <v>26</v>
      </c>
      <c r="B31" s="211" t="s">
        <v>13</v>
      </c>
      <c r="C31" s="211" t="s">
        <v>488</v>
      </c>
      <c r="D31" s="211" t="s">
        <v>78</v>
      </c>
      <c r="E31" s="210" t="s">
        <v>79</v>
      </c>
      <c r="F31" s="212">
        <f t="shared" si="0"/>
        <v>4729.00408769974</v>
      </c>
      <c r="G31" s="212">
        <v>50903</v>
      </c>
      <c r="H31" s="210" t="s">
        <v>487</v>
      </c>
      <c r="I31" s="21" t="s">
        <v>479</v>
      </c>
      <c r="J31" s="210" t="s">
        <v>408</v>
      </c>
      <c r="K31" s="210">
        <v>5</v>
      </c>
      <c r="L31" s="211" t="s">
        <v>193</v>
      </c>
      <c r="M31" s="211" t="s">
        <v>194</v>
      </c>
      <c r="N31" s="211" t="s">
        <v>464</v>
      </c>
      <c r="O31" s="213" t="s">
        <v>195</v>
      </c>
      <c r="P31" s="210" t="s">
        <v>17</v>
      </c>
    </row>
    <row r="32" spans="1:17" s="214" customFormat="1" ht="13.5">
      <c r="A32" s="210">
        <v>27</v>
      </c>
      <c r="B32" s="211" t="s">
        <v>13</v>
      </c>
      <c r="C32" s="211" t="s">
        <v>489</v>
      </c>
      <c r="D32" s="211" t="s">
        <v>78</v>
      </c>
      <c r="E32" s="210" t="s">
        <v>79</v>
      </c>
      <c r="F32" s="212">
        <f t="shared" si="0"/>
        <v>6612.9691564474178</v>
      </c>
      <c r="G32" s="212">
        <v>71182</v>
      </c>
      <c r="H32" s="210" t="s">
        <v>490</v>
      </c>
      <c r="I32" s="21" t="s">
        <v>479</v>
      </c>
      <c r="J32" s="210" t="s">
        <v>201</v>
      </c>
      <c r="K32" s="210">
        <v>3</v>
      </c>
      <c r="L32" s="211" t="s">
        <v>193</v>
      </c>
      <c r="M32" s="211" t="s">
        <v>491</v>
      </c>
      <c r="N32" s="211" t="s">
        <v>464</v>
      </c>
      <c r="O32" s="213" t="s">
        <v>195</v>
      </c>
      <c r="P32" s="210" t="s">
        <v>17</v>
      </c>
    </row>
    <row r="33" spans="1:17" s="214" customFormat="1" ht="13.5">
      <c r="A33" s="210">
        <v>28</v>
      </c>
      <c r="B33" s="211" t="s">
        <v>13</v>
      </c>
      <c r="C33" s="211" t="s">
        <v>493</v>
      </c>
      <c r="D33" s="211" t="s">
        <v>78</v>
      </c>
      <c r="E33" s="210" t="s">
        <v>79</v>
      </c>
      <c r="F33" s="212">
        <f t="shared" si="0"/>
        <v>8523.968784838351</v>
      </c>
      <c r="G33" s="212">
        <v>91752</v>
      </c>
      <c r="H33" s="210" t="s">
        <v>492</v>
      </c>
      <c r="I33" s="21" t="s">
        <v>479</v>
      </c>
      <c r="J33" s="210" t="s">
        <v>470</v>
      </c>
      <c r="K33" s="210">
        <v>3</v>
      </c>
      <c r="L33" s="211" t="s">
        <v>193</v>
      </c>
      <c r="M33" s="211" t="s">
        <v>194</v>
      </c>
      <c r="N33" s="211" t="s">
        <v>494</v>
      </c>
      <c r="O33" s="213" t="s">
        <v>195</v>
      </c>
      <c r="P33" s="210" t="s">
        <v>17</v>
      </c>
    </row>
    <row r="34" spans="1:17" s="214" customFormat="1" ht="13.5">
      <c r="A34" s="210">
        <v>29</v>
      </c>
      <c r="B34" s="211" t="s">
        <v>13</v>
      </c>
      <c r="C34" s="211" t="s">
        <v>515</v>
      </c>
      <c r="D34" s="211" t="s">
        <v>78</v>
      </c>
      <c r="E34" s="210" t="s">
        <v>79</v>
      </c>
      <c r="F34" s="212">
        <f t="shared" si="0"/>
        <v>1356.001486436269</v>
      </c>
      <c r="G34" s="212">
        <v>14596</v>
      </c>
      <c r="H34" s="210" t="s">
        <v>77</v>
      </c>
      <c r="I34" s="21" t="s">
        <v>479</v>
      </c>
      <c r="J34" s="210" t="s">
        <v>201</v>
      </c>
      <c r="K34" s="210">
        <v>3</v>
      </c>
      <c r="L34" s="211" t="s">
        <v>193</v>
      </c>
      <c r="M34" s="211" t="s">
        <v>228</v>
      </c>
      <c r="N34" s="211"/>
      <c r="O34" s="213" t="s">
        <v>195</v>
      </c>
      <c r="P34" s="210" t="s">
        <v>17</v>
      </c>
    </row>
    <row r="35" spans="1:17" s="179" customFormat="1" ht="13.5">
      <c r="A35" s="210">
        <v>30</v>
      </c>
      <c r="B35" s="211" t="s">
        <v>13</v>
      </c>
      <c r="C35" s="211" t="s">
        <v>234</v>
      </c>
      <c r="D35" s="211" t="s">
        <v>235</v>
      </c>
      <c r="E35" s="210" t="s">
        <v>82</v>
      </c>
      <c r="F35" s="212">
        <f t="shared" si="0"/>
        <v>3691.6573764399855</v>
      </c>
      <c r="G35" s="212">
        <v>39737</v>
      </c>
      <c r="H35" s="210" t="s">
        <v>236</v>
      </c>
      <c r="I35" s="21" t="s">
        <v>205</v>
      </c>
      <c r="J35" s="210" t="s">
        <v>201</v>
      </c>
      <c r="K35" s="210">
        <v>8</v>
      </c>
      <c r="L35" s="211" t="s">
        <v>193</v>
      </c>
      <c r="M35" s="211" t="s">
        <v>228</v>
      </c>
      <c r="N35" s="211"/>
      <c r="O35" s="213" t="s">
        <v>195</v>
      </c>
      <c r="P35" s="210" t="s">
        <v>17</v>
      </c>
      <c r="Q35" s="214"/>
    </row>
    <row r="36" spans="1:17" s="179" customFormat="1" ht="13.5">
      <c r="A36" s="210">
        <v>31</v>
      </c>
      <c r="B36" s="211" t="s">
        <v>13</v>
      </c>
      <c r="C36" s="211" t="s">
        <v>237</v>
      </c>
      <c r="D36" s="211" t="s">
        <v>235</v>
      </c>
      <c r="E36" s="210" t="s">
        <v>82</v>
      </c>
      <c r="F36" s="212">
        <f t="shared" si="0"/>
        <v>4187.2909698996655</v>
      </c>
      <c r="G36" s="212">
        <v>45072</v>
      </c>
      <c r="H36" s="210" t="s">
        <v>236</v>
      </c>
      <c r="I36" s="21" t="s">
        <v>205</v>
      </c>
      <c r="J36" s="210" t="s">
        <v>199</v>
      </c>
      <c r="K36" s="210">
        <v>10</v>
      </c>
      <c r="L36" s="211" t="s">
        <v>193</v>
      </c>
      <c r="M36" s="211" t="s">
        <v>228</v>
      </c>
      <c r="N36" s="211"/>
      <c r="O36" s="213" t="s">
        <v>195</v>
      </c>
      <c r="P36" s="210" t="s">
        <v>17</v>
      </c>
      <c r="Q36" s="214"/>
    </row>
    <row r="37" spans="1:17" s="179" customFormat="1" ht="13.5">
      <c r="A37" s="210">
        <v>32</v>
      </c>
      <c r="B37" s="211" t="s">
        <v>13</v>
      </c>
      <c r="C37" s="211" t="s">
        <v>238</v>
      </c>
      <c r="D37" s="211" t="s">
        <v>235</v>
      </c>
      <c r="E37" s="210" t="s">
        <v>82</v>
      </c>
      <c r="F37" s="212">
        <f t="shared" si="0"/>
        <v>1377.3690078037905</v>
      </c>
      <c r="G37" s="212">
        <v>14826</v>
      </c>
      <c r="H37" s="210" t="s">
        <v>239</v>
      </c>
      <c r="I37" s="21" t="s">
        <v>216</v>
      </c>
      <c r="J37" s="210" t="s">
        <v>240</v>
      </c>
      <c r="K37" s="210">
        <v>10</v>
      </c>
      <c r="L37" s="211" t="s">
        <v>241</v>
      </c>
      <c r="M37" s="211" t="s">
        <v>242</v>
      </c>
      <c r="N37" s="211"/>
      <c r="O37" s="213" t="s">
        <v>195</v>
      </c>
      <c r="P37" s="210" t="s">
        <v>17</v>
      </c>
      <c r="Q37" s="214"/>
    </row>
    <row r="38" spans="1:17" s="173" customFormat="1" ht="13.5">
      <c r="A38" s="210">
        <v>33</v>
      </c>
      <c r="B38" s="202" t="s">
        <v>13</v>
      </c>
      <c r="C38" s="202" t="s">
        <v>243</v>
      </c>
      <c r="D38" s="202" t="s">
        <v>235</v>
      </c>
      <c r="E38" s="201" t="s">
        <v>82</v>
      </c>
      <c r="F38" s="203">
        <f t="shared" si="0"/>
        <v>6629.9702712746193</v>
      </c>
      <c r="G38" s="203">
        <v>71365</v>
      </c>
      <c r="H38" s="201" t="s">
        <v>80</v>
      </c>
      <c r="I38" s="204" t="s">
        <v>219</v>
      </c>
      <c r="J38" s="201" t="s">
        <v>244</v>
      </c>
      <c r="K38" s="201">
        <v>7</v>
      </c>
      <c r="L38" s="202" t="s">
        <v>211</v>
      </c>
      <c r="M38" s="202" t="s">
        <v>426</v>
      </c>
      <c r="N38" s="202"/>
      <c r="O38" s="232" t="s">
        <v>213</v>
      </c>
      <c r="P38" s="201" t="s">
        <v>17</v>
      </c>
    </row>
    <row r="39" spans="1:17" s="209" customFormat="1" ht="13.5">
      <c r="A39" s="210">
        <v>34</v>
      </c>
      <c r="B39" s="206" t="s">
        <v>13</v>
      </c>
      <c r="C39" s="206" t="s">
        <v>245</v>
      </c>
      <c r="D39" s="206" t="s">
        <v>235</v>
      </c>
      <c r="E39" s="205" t="s">
        <v>82</v>
      </c>
      <c r="F39" s="207">
        <f t="shared" si="0"/>
        <v>10697.13861018209</v>
      </c>
      <c r="G39" s="207">
        <v>115144</v>
      </c>
      <c r="H39" s="205" t="s">
        <v>246</v>
      </c>
      <c r="I39" s="208" t="s">
        <v>198</v>
      </c>
      <c r="J39" s="205" t="s">
        <v>427</v>
      </c>
      <c r="K39" s="205">
        <v>1</v>
      </c>
      <c r="L39" s="206" t="s">
        <v>211</v>
      </c>
      <c r="M39" s="206" t="s">
        <v>428</v>
      </c>
      <c r="N39" s="206"/>
      <c r="O39" s="222" t="s">
        <v>195</v>
      </c>
      <c r="P39" s="205" t="s">
        <v>17</v>
      </c>
    </row>
    <row r="40" spans="1:17" s="179" customFormat="1" ht="13.5">
      <c r="A40" s="210">
        <v>35</v>
      </c>
      <c r="B40" s="211" t="s">
        <v>13</v>
      </c>
      <c r="C40" s="211" t="s">
        <v>247</v>
      </c>
      <c r="D40" s="211" t="s">
        <v>248</v>
      </c>
      <c r="E40" s="210" t="s">
        <v>104</v>
      </c>
      <c r="F40" s="212">
        <f t="shared" si="0"/>
        <v>4851.2634708286887</v>
      </c>
      <c r="G40" s="212">
        <v>52219</v>
      </c>
      <c r="H40" s="210" t="s">
        <v>249</v>
      </c>
      <c r="I40" s="21" t="s">
        <v>205</v>
      </c>
      <c r="J40" s="210" t="s">
        <v>192</v>
      </c>
      <c r="K40" s="210">
        <v>5</v>
      </c>
      <c r="L40" s="211" t="s">
        <v>193</v>
      </c>
      <c r="M40" s="211" t="s">
        <v>250</v>
      </c>
      <c r="N40" s="211"/>
      <c r="O40" s="213" t="s">
        <v>195</v>
      </c>
      <c r="P40" s="210" t="s">
        <v>17</v>
      </c>
      <c r="Q40" s="214"/>
    </row>
    <row r="41" spans="1:17" s="214" customFormat="1" ht="13.5">
      <c r="A41" s="210">
        <v>36</v>
      </c>
      <c r="B41" s="211" t="s">
        <v>13</v>
      </c>
      <c r="C41" s="211" t="s">
        <v>503</v>
      </c>
      <c r="D41" s="211" t="s">
        <v>536</v>
      </c>
      <c r="E41" s="210" t="s">
        <v>104</v>
      </c>
      <c r="F41" s="212">
        <f>G41/10.764</f>
        <v>8000.0000000000009</v>
      </c>
      <c r="G41" s="212">
        <v>86112</v>
      </c>
      <c r="H41" s="210" t="s">
        <v>174</v>
      </c>
      <c r="I41" s="21" t="s">
        <v>198</v>
      </c>
      <c r="J41" s="210" t="s">
        <v>201</v>
      </c>
      <c r="K41" s="210">
        <v>10</v>
      </c>
      <c r="L41" s="211" t="s">
        <v>193</v>
      </c>
      <c r="M41" s="211" t="s">
        <v>228</v>
      </c>
      <c r="N41" s="211"/>
      <c r="O41" s="213" t="s">
        <v>195</v>
      </c>
      <c r="P41" s="210" t="s">
        <v>17</v>
      </c>
    </row>
    <row r="42" spans="1:17" s="26" customFormat="1" ht="12.75" customHeight="1">
      <c r="A42" s="261" t="s">
        <v>251</v>
      </c>
      <c r="B42" s="261"/>
      <c r="C42" s="261"/>
      <c r="D42" s="261"/>
      <c r="E42" s="261"/>
      <c r="F42" s="24">
        <f>SUM(F6:F41)</f>
        <v>331082.77591973258</v>
      </c>
      <c r="G42" s="262">
        <f>SUM(G6:G41)</f>
        <v>3563775</v>
      </c>
      <c r="H42" s="262"/>
      <c r="I42" s="262"/>
      <c r="J42" s="262"/>
      <c r="K42" s="262"/>
      <c r="L42" s="262"/>
      <c r="M42" s="234"/>
      <c r="N42" s="239"/>
      <c r="O42" s="25"/>
      <c r="P42" s="234"/>
      <c r="Q42" s="216"/>
    </row>
    <row r="43" spans="1:17" s="29" customFormat="1" ht="18.75" customHeight="1">
      <c r="A43" s="16" t="s">
        <v>113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27"/>
      <c r="Q43" s="28"/>
    </row>
    <row r="44" spans="1:17" s="26" customFormat="1" ht="12.75" customHeight="1">
      <c r="A44" s="217">
        <v>1</v>
      </c>
      <c r="B44" s="213" t="s">
        <v>252</v>
      </c>
      <c r="C44" s="218" t="s">
        <v>405</v>
      </c>
      <c r="D44" s="218" t="s">
        <v>116</v>
      </c>
      <c r="E44" s="215" t="s">
        <v>117</v>
      </c>
      <c r="F44" s="215">
        <f>G44/10.764</f>
        <v>15545.98662207358</v>
      </c>
      <c r="G44" s="215">
        <v>167337</v>
      </c>
      <c r="H44" s="217" t="s">
        <v>115</v>
      </c>
      <c r="I44" s="181" t="s">
        <v>406</v>
      </c>
      <c r="J44" s="182" t="s">
        <v>269</v>
      </c>
      <c r="K44" s="217">
        <v>10</v>
      </c>
      <c r="L44" s="218" t="s">
        <v>193</v>
      </c>
      <c r="M44" s="30" t="s">
        <v>437</v>
      </c>
      <c r="N44" s="30" t="s">
        <v>435</v>
      </c>
      <c r="O44" s="31" t="s">
        <v>195</v>
      </c>
      <c r="P44" s="215" t="s">
        <v>17</v>
      </c>
      <c r="Q44" s="216"/>
    </row>
    <row r="45" spans="1:17" s="216" customFormat="1" ht="12.75" customHeight="1">
      <c r="A45" s="217">
        <v>2</v>
      </c>
      <c r="B45" s="213" t="s">
        <v>252</v>
      </c>
      <c r="C45" s="218" t="s">
        <v>478</v>
      </c>
      <c r="D45" s="218" t="s">
        <v>128</v>
      </c>
      <c r="E45" s="215" t="s">
        <v>129</v>
      </c>
      <c r="F45" s="215">
        <f>G45/10.764</f>
        <v>24660.999628390935</v>
      </c>
      <c r="G45" s="215">
        <v>265451</v>
      </c>
      <c r="H45" s="217" t="s">
        <v>419</v>
      </c>
      <c r="I45" s="181" t="s">
        <v>479</v>
      </c>
      <c r="J45" s="182" t="s">
        <v>480</v>
      </c>
      <c r="K45" s="217">
        <v>2</v>
      </c>
      <c r="L45" s="218" t="s">
        <v>211</v>
      </c>
      <c r="M45" s="30" t="s">
        <v>194</v>
      </c>
      <c r="N45" s="30"/>
      <c r="O45" s="31" t="s">
        <v>195</v>
      </c>
      <c r="P45" s="215" t="s">
        <v>17</v>
      </c>
    </row>
    <row r="46" spans="1:17" s="216" customFormat="1" ht="12.75" customHeight="1">
      <c r="A46" s="217">
        <v>3</v>
      </c>
      <c r="B46" s="213" t="s">
        <v>252</v>
      </c>
      <c r="C46" s="218" t="s">
        <v>543</v>
      </c>
      <c r="D46" s="218" t="s">
        <v>119</v>
      </c>
      <c r="E46" s="215" t="s">
        <v>120</v>
      </c>
      <c r="F46" s="215">
        <f>G46/10.764</f>
        <v>20174.842066146415</v>
      </c>
      <c r="G46" s="215">
        <v>217162</v>
      </c>
      <c r="H46" s="217" t="s">
        <v>118</v>
      </c>
      <c r="I46" s="181" t="s">
        <v>479</v>
      </c>
      <c r="J46" s="182" t="s">
        <v>470</v>
      </c>
      <c r="K46" s="217">
        <v>15</v>
      </c>
      <c r="L46" s="218" t="s">
        <v>193</v>
      </c>
      <c r="M46" s="30" t="s">
        <v>194</v>
      </c>
      <c r="N46" s="30"/>
      <c r="O46" s="31" t="s">
        <v>195</v>
      </c>
      <c r="P46" s="215" t="s">
        <v>17</v>
      </c>
    </row>
    <row r="47" spans="1:17" s="216" customFormat="1" ht="12.75" customHeight="1">
      <c r="A47" s="217">
        <v>4</v>
      </c>
      <c r="B47" s="213" t="s">
        <v>252</v>
      </c>
      <c r="C47" s="218" t="s">
        <v>543</v>
      </c>
      <c r="D47" s="218" t="s">
        <v>119</v>
      </c>
      <c r="E47" s="215" t="s">
        <v>120</v>
      </c>
      <c r="F47" s="215">
        <f>G47/10.764</f>
        <v>10018.394648829431</v>
      </c>
      <c r="G47" s="215">
        <v>107838</v>
      </c>
      <c r="H47" s="217" t="s">
        <v>501</v>
      </c>
      <c r="I47" s="181" t="s">
        <v>479</v>
      </c>
      <c r="J47" s="182" t="s">
        <v>470</v>
      </c>
      <c r="K47" s="217">
        <v>15</v>
      </c>
      <c r="L47" s="218" t="s">
        <v>193</v>
      </c>
      <c r="M47" s="30" t="s">
        <v>228</v>
      </c>
      <c r="N47" s="30"/>
      <c r="O47" s="31" t="s">
        <v>195</v>
      </c>
      <c r="P47" s="215" t="s">
        <v>17</v>
      </c>
    </row>
    <row r="48" spans="1:17" s="26" customFormat="1" ht="12.75" customHeight="1">
      <c r="A48" s="261" t="s">
        <v>253</v>
      </c>
      <c r="B48" s="261"/>
      <c r="C48" s="261"/>
      <c r="D48" s="261"/>
      <c r="E48" s="261"/>
      <c r="F48" s="24">
        <f>SUM(F44:F47)</f>
        <v>70400.222965440364</v>
      </c>
      <c r="G48" s="262">
        <f>SUM(G44:G47)</f>
        <v>757788</v>
      </c>
      <c r="H48" s="262"/>
      <c r="I48" s="262"/>
      <c r="J48" s="262"/>
      <c r="K48" s="262"/>
      <c r="L48" s="262"/>
      <c r="M48" s="234"/>
      <c r="N48" s="239"/>
      <c r="O48" s="25"/>
      <c r="P48" s="234"/>
      <c r="Q48" s="216"/>
    </row>
    <row r="49" spans="1:17" s="32" customFormat="1" ht="19.5" customHeight="1">
      <c r="A49" s="16" t="s">
        <v>131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27"/>
    </row>
    <row r="50" spans="1:17" s="23" customFormat="1" ht="12.75" customHeight="1">
      <c r="A50" s="219">
        <v>1</v>
      </c>
      <c r="B50" s="220" t="s">
        <v>132</v>
      </c>
      <c r="C50" s="211"/>
      <c r="D50" s="211"/>
      <c r="E50" s="210"/>
      <c r="F50" s="212"/>
      <c r="G50" s="212"/>
      <c r="H50" s="217"/>
      <c r="I50" s="221"/>
      <c r="J50" s="182"/>
      <c r="K50" s="217"/>
      <c r="L50" s="211"/>
      <c r="M50" s="30"/>
      <c r="N50" s="30"/>
      <c r="O50" s="22"/>
      <c r="P50" s="219"/>
      <c r="Q50" s="214"/>
    </row>
    <row r="51" spans="1:17" s="26" customFormat="1" ht="12.75" customHeight="1">
      <c r="A51" s="261" t="s">
        <v>254</v>
      </c>
      <c r="B51" s="261"/>
      <c r="C51" s="261"/>
      <c r="D51" s="261"/>
      <c r="E51" s="261"/>
      <c r="F51" s="24">
        <f>SUM(F50:F50)</f>
        <v>0</v>
      </c>
      <c r="G51" s="262">
        <f>SUM(G50:G50)</f>
        <v>0</v>
      </c>
      <c r="H51" s="262"/>
      <c r="I51" s="262"/>
      <c r="J51" s="262"/>
      <c r="K51" s="262"/>
      <c r="L51" s="262"/>
      <c r="M51" s="234"/>
      <c r="N51" s="239"/>
      <c r="O51" s="25"/>
      <c r="P51" s="234"/>
      <c r="Q51" s="216"/>
    </row>
    <row r="52" spans="1:17" s="32" customFormat="1" ht="19.5" customHeight="1">
      <c r="A52" s="16" t="s">
        <v>105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27"/>
      <c r="Q52" s="33"/>
    </row>
    <row r="53" spans="1:17" s="23" customFormat="1" ht="12.75" customHeight="1">
      <c r="A53" s="217">
        <v>1</v>
      </c>
      <c r="B53" s="222" t="s">
        <v>255</v>
      </c>
      <c r="C53" s="222" t="s">
        <v>256</v>
      </c>
      <c r="D53" s="213" t="s">
        <v>107</v>
      </c>
      <c r="E53" s="215" t="s">
        <v>108</v>
      </c>
      <c r="F53" s="215">
        <f t="shared" ref="F53:F59" si="1">G53/10.764</f>
        <v>5599.0338164251207</v>
      </c>
      <c r="G53" s="215">
        <v>60268</v>
      </c>
      <c r="H53" s="217" t="s">
        <v>68</v>
      </c>
      <c r="I53" s="223" t="s">
        <v>216</v>
      </c>
      <c r="J53" s="217" t="s">
        <v>257</v>
      </c>
      <c r="K53" s="210">
        <v>3</v>
      </c>
      <c r="L53" s="218" t="s">
        <v>211</v>
      </c>
      <c r="M53" s="218" t="s">
        <v>194</v>
      </c>
      <c r="N53" s="224"/>
      <c r="O53" s="224" t="s">
        <v>213</v>
      </c>
      <c r="P53" s="34" t="s">
        <v>38</v>
      </c>
      <c r="Q53" s="214"/>
    </row>
    <row r="54" spans="1:17" s="193" customFormat="1" ht="12.75" customHeight="1">
      <c r="A54" s="217">
        <v>2</v>
      </c>
      <c r="B54" s="222" t="s">
        <v>255</v>
      </c>
      <c r="C54" s="222" t="s">
        <v>259</v>
      </c>
      <c r="D54" s="213" t="s">
        <v>107</v>
      </c>
      <c r="E54" s="215" t="s">
        <v>108</v>
      </c>
      <c r="F54" s="215">
        <f t="shared" si="1"/>
        <v>1556.4845782237087</v>
      </c>
      <c r="G54" s="215">
        <v>16754</v>
      </c>
      <c r="H54" s="217" t="s">
        <v>260</v>
      </c>
      <c r="I54" s="223" t="s">
        <v>219</v>
      </c>
      <c r="J54" s="217" t="s">
        <v>261</v>
      </c>
      <c r="K54" s="210">
        <v>3</v>
      </c>
      <c r="L54" s="218" t="s">
        <v>422</v>
      </c>
      <c r="M54" s="218" t="s">
        <v>212</v>
      </c>
      <c r="N54" s="224" t="s">
        <v>445</v>
      </c>
      <c r="O54" s="224" t="s">
        <v>213</v>
      </c>
      <c r="P54" s="34" t="s">
        <v>17</v>
      </c>
      <c r="Q54" s="214"/>
    </row>
    <row r="55" spans="1:17" s="214" customFormat="1" ht="12.75" customHeight="1">
      <c r="A55" s="217">
        <v>3</v>
      </c>
      <c r="B55" s="222" t="s">
        <v>255</v>
      </c>
      <c r="C55" s="222" t="s">
        <v>262</v>
      </c>
      <c r="D55" s="213" t="s">
        <v>107</v>
      </c>
      <c r="E55" s="215" t="s">
        <v>108</v>
      </c>
      <c r="F55" s="215">
        <f t="shared" si="1"/>
        <v>5120.0297287253816</v>
      </c>
      <c r="G55" s="215">
        <v>55112</v>
      </c>
      <c r="H55" s="217" t="s">
        <v>263</v>
      </c>
      <c r="I55" s="223" t="s">
        <v>219</v>
      </c>
      <c r="J55" s="217" t="s">
        <v>257</v>
      </c>
      <c r="K55" s="210">
        <v>5</v>
      </c>
      <c r="L55" s="218" t="s">
        <v>211</v>
      </c>
      <c r="M55" s="218" t="s">
        <v>228</v>
      </c>
      <c r="N55" s="224" t="s">
        <v>445</v>
      </c>
      <c r="O55" s="224" t="s">
        <v>213</v>
      </c>
      <c r="P55" s="34" t="s">
        <v>17</v>
      </c>
    </row>
    <row r="56" spans="1:17" s="179" customFormat="1" ht="12.75" customHeight="1">
      <c r="A56" s="217">
        <v>4</v>
      </c>
      <c r="B56" s="222" t="s">
        <v>255</v>
      </c>
      <c r="C56" s="222" t="s">
        <v>264</v>
      </c>
      <c r="D56" s="213" t="s">
        <v>110</v>
      </c>
      <c r="E56" s="215" t="s">
        <v>49</v>
      </c>
      <c r="F56" s="215">
        <f t="shared" si="1"/>
        <v>5437.01226309922</v>
      </c>
      <c r="G56" s="215">
        <v>58524</v>
      </c>
      <c r="H56" s="217" t="s">
        <v>265</v>
      </c>
      <c r="I56" s="223" t="s">
        <v>216</v>
      </c>
      <c r="J56" s="217" t="s">
        <v>408</v>
      </c>
      <c r="K56" s="210" t="s">
        <v>258</v>
      </c>
      <c r="L56" s="218" t="s">
        <v>538</v>
      </c>
      <c r="M56" s="218" t="s">
        <v>194</v>
      </c>
      <c r="N56" s="224"/>
      <c r="O56" s="224" t="s">
        <v>213</v>
      </c>
      <c r="P56" s="34" t="s">
        <v>111</v>
      </c>
      <c r="Q56" s="214"/>
    </row>
    <row r="57" spans="1:17" s="214" customFormat="1" ht="12.75" customHeight="1">
      <c r="A57" s="217">
        <v>5</v>
      </c>
      <c r="B57" s="222" t="s">
        <v>255</v>
      </c>
      <c r="C57" s="222" t="s">
        <v>537</v>
      </c>
      <c r="D57" s="213" t="s">
        <v>110</v>
      </c>
      <c r="E57" s="215" t="s">
        <v>49</v>
      </c>
      <c r="F57" s="215">
        <f t="shared" si="1"/>
        <v>1808.9929394277221</v>
      </c>
      <c r="G57" s="215">
        <v>19472</v>
      </c>
      <c r="H57" s="217" t="s">
        <v>109</v>
      </c>
      <c r="I57" s="223" t="s">
        <v>406</v>
      </c>
      <c r="J57" s="217" t="s">
        <v>201</v>
      </c>
      <c r="K57" s="210" t="s">
        <v>258</v>
      </c>
      <c r="L57" s="218" t="s">
        <v>193</v>
      </c>
      <c r="M57" s="218" t="s">
        <v>228</v>
      </c>
      <c r="N57" s="224"/>
      <c r="O57" s="224" t="s">
        <v>213</v>
      </c>
      <c r="P57" s="34" t="s">
        <v>111</v>
      </c>
    </row>
    <row r="58" spans="1:17" s="179" customFormat="1" ht="12.75" customHeight="1">
      <c r="A58" s="217">
        <v>6</v>
      </c>
      <c r="B58" s="222" t="s">
        <v>255</v>
      </c>
      <c r="C58" s="222" t="s">
        <v>266</v>
      </c>
      <c r="D58" s="213" t="s">
        <v>267</v>
      </c>
      <c r="E58" s="215" t="s">
        <v>82</v>
      </c>
      <c r="F58" s="215">
        <f t="shared" si="1"/>
        <v>3167.038275733928</v>
      </c>
      <c r="G58" s="215">
        <v>34090</v>
      </c>
      <c r="H58" s="217" t="s">
        <v>268</v>
      </c>
      <c r="I58" s="223" t="s">
        <v>216</v>
      </c>
      <c r="J58" s="217" t="s">
        <v>269</v>
      </c>
      <c r="K58" s="210">
        <v>3</v>
      </c>
      <c r="L58" s="218" t="s">
        <v>193</v>
      </c>
      <c r="M58" s="218" t="s">
        <v>194</v>
      </c>
      <c r="N58" s="224"/>
      <c r="O58" s="224" t="s">
        <v>195</v>
      </c>
      <c r="P58" s="34" t="s">
        <v>17</v>
      </c>
      <c r="Q58" s="214"/>
    </row>
    <row r="59" spans="1:17" s="214" customFormat="1" ht="12.75" customHeight="1">
      <c r="A59" s="217">
        <v>7</v>
      </c>
      <c r="B59" s="222" t="s">
        <v>255</v>
      </c>
      <c r="C59" s="222" t="s">
        <v>450</v>
      </c>
      <c r="D59" s="213" t="s">
        <v>267</v>
      </c>
      <c r="E59" s="215" t="s">
        <v>82</v>
      </c>
      <c r="F59" s="215">
        <f t="shared" si="1"/>
        <v>6410.2564102564111</v>
      </c>
      <c r="G59" s="215">
        <v>69000</v>
      </c>
      <c r="H59" s="217" t="s">
        <v>447</v>
      </c>
      <c r="I59" s="223" t="s">
        <v>406</v>
      </c>
      <c r="J59" s="217" t="s">
        <v>201</v>
      </c>
      <c r="K59" s="210">
        <v>3</v>
      </c>
      <c r="L59" s="218" t="s">
        <v>211</v>
      </c>
      <c r="M59" s="218" t="s">
        <v>228</v>
      </c>
      <c r="N59" s="224"/>
      <c r="O59" s="224" t="s">
        <v>213</v>
      </c>
      <c r="P59" s="34" t="s">
        <v>38</v>
      </c>
    </row>
    <row r="60" spans="1:17" s="26" customFormat="1" ht="12.75" customHeight="1">
      <c r="A60" s="261" t="s">
        <v>270</v>
      </c>
      <c r="B60" s="261"/>
      <c r="C60" s="261"/>
      <c r="D60" s="261"/>
      <c r="E60" s="261"/>
      <c r="F60" s="24">
        <f>SUM(F53:F59)</f>
        <v>29098.848011891489</v>
      </c>
      <c r="G60" s="262">
        <f>SUM(G53:G59)</f>
        <v>313220</v>
      </c>
      <c r="H60" s="262"/>
      <c r="I60" s="262"/>
      <c r="J60" s="262"/>
      <c r="K60" s="262"/>
      <c r="L60" s="262"/>
      <c r="M60" s="234"/>
      <c r="N60" s="239"/>
      <c r="O60" s="25"/>
      <c r="P60" s="234"/>
      <c r="Q60" s="216"/>
    </row>
    <row r="61" spans="1:17" s="32" customFormat="1" ht="19.5" customHeight="1">
      <c r="A61" s="16" t="s">
        <v>85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27"/>
      <c r="Q61" s="33"/>
    </row>
    <row r="62" spans="1:17" s="216" customFormat="1" ht="12.75" customHeight="1">
      <c r="A62" s="219">
        <v>1</v>
      </c>
      <c r="B62" s="220" t="s">
        <v>86</v>
      </c>
      <c r="C62" s="186" t="s">
        <v>404</v>
      </c>
      <c r="D62" s="187" t="s">
        <v>271</v>
      </c>
      <c r="E62" s="188" t="s">
        <v>272</v>
      </c>
      <c r="F62" s="188">
        <f t="shared" ref="F62:F71" si="2">G62/10.764</f>
        <v>7994.983277591974</v>
      </c>
      <c r="G62" s="233">
        <v>86058</v>
      </c>
      <c r="H62" s="217" t="s">
        <v>102</v>
      </c>
      <c r="I62" s="221" t="s">
        <v>231</v>
      </c>
      <c r="J62" s="219" t="s">
        <v>201</v>
      </c>
      <c r="K62" s="219">
        <v>3</v>
      </c>
      <c r="L62" s="225" t="s">
        <v>211</v>
      </c>
      <c r="M62" s="37" t="s">
        <v>194</v>
      </c>
      <c r="N62" s="37"/>
      <c r="O62" s="38" t="s">
        <v>195</v>
      </c>
      <c r="P62" s="219" t="s">
        <v>38</v>
      </c>
    </row>
    <row r="63" spans="1:17" s="260" customFormat="1" ht="12.75" customHeight="1">
      <c r="A63" s="185">
        <v>2</v>
      </c>
      <c r="B63" s="186" t="s">
        <v>86</v>
      </c>
      <c r="C63" s="186" t="s">
        <v>548</v>
      </c>
      <c r="D63" s="187" t="s">
        <v>271</v>
      </c>
      <c r="E63" s="188" t="s">
        <v>272</v>
      </c>
      <c r="F63" s="188">
        <f>G63/10.764</f>
        <v>6407.9338535860279</v>
      </c>
      <c r="G63" s="233">
        <v>68975</v>
      </c>
      <c r="H63" s="230" t="s">
        <v>102</v>
      </c>
      <c r="I63" s="189" t="s">
        <v>506</v>
      </c>
      <c r="J63" s="185" t="s">
        <v>269</v>
      </c>
      <c r="K63" s="185" t="s">
        <v>258</v>
      </c>
      <c r="L63" s="190" t="s">
        <v>211</v>
      </c>
      <c r="M63" s="176" t="s">
        <v>549</v>
      </c>
      <c r="N63" s="176" t="s">
        <v>547</v>
      </c>
      <c r="O63" s="176" t="s">
        <v>195</v>
      </c>
      <c r="P63" s="185" t="s">
        <v>38</v>
      </c>
    </row>
    <row r="64" spans="1:17" s="26" customFormat="1" ht="12.75" customHeight="1">
      <c r="A64" s="219">
        <v>3</v>
      </c>
      <c r="B64" s="220" t="s">
        <v>86</v>
      </c>
      <c r="C64" s="220" t="s">
        <v>273</v>
      </c>
      <c r="D64" s="35" t="s">
        <v>88</v>
      </c>
      <c r="E64" s="36" t="s">
        <v>35</v>
      </c>
      <c r="F64" s="36">
        <f t="shared" si="2"/>
        <v>6525.6410256410263</v>
      </c>
      <c r="G64" s="215">
        <v>70242</v>
      </c>
      <c r="H64" s="217" t="s">
        <v>274</v>
      </c>
      <c r="I64" s="221" t="s">
        <v>216</v>
      </c>
      <c r="J64" s="219" t="s">
        <v>192</v>
      </c>
      <c r="K64" s="219">
        <v>5</v>
      </c>
      <c r="L64" s="225" t="s">
        <v>193</v>
      </c>
      <c r="M64" s="37" t="s">
        <v>194</v>
      </c>
      <c r="N64" s="37"/>
      <c r="O64" s="38" t="s">
        <v>195</v>
      </c>
      <c r="P64" s="219" t="s">
        <v>17</v>
      </c>
      <c r="Q64" s="216"/>
    </row>
    <row r="65" spans="1:17" s="216" customFormat="1" ht="12.75" customHeight="1">
      <c r="A65" s="219">
        <v>4</v>
      </c>
      <c r="B65" s="220" t="s">
        <v>86</v>
      </c>
      <c r="C65" s="186" t="s">
        <v>475</v>
      </c>
      <c r="D65" s="35" t="s">
        <v>91</v>
      </c>
      <c r="E65" s="36" t="s">
        <v>47</v>
      </c>
      <c r="F65" s="36">
        <f t="shared" si="2"/>
        <v>10869.565217391306</v>
      </c>
      <c r="G65" s="215">
        <v>117000</v>
      </c>
      <c r="H65" s="217" t="s">
        <v>92</v>
      </c>
      <c r="I65" s="221" t="s">
        <v>479</v>
      </c>
      <c r="J65" s="219" t="s">
        <v>257</v>
      </c>
      <c r="K65" s="219">
        <v>13</v>
      </c>
      <c r="L65" s="225" t="s">
        <v>193</v>
      </c>
      <c r="M65" s="37" t="s">
        <v>194</v>
      </c>
      <c r="N65" s="37" t="s">
        <v>445</v>
      </c>
      <c r="O65" s="38" t="s">
        <v>213</v>
      </c>
      <c r="P65" s="219" t="s">
        <v>17</v>
      </c>
    </row>
    <row r="66" spans="1:17" s="98" customFormat="1" ht="12.75" customHeight="1">
      <c r="A66" s="219">
        <v>5</v>
      </c>
      <c r="B66" s="254" t="s">
        <v>86</v>
      </c>
      <c r="C66" s="254" t="s">
        <v>498</v>
      </c>
      <c r="D66" s="255" t="s">
        <v>499</v>
      </c>
      <c r="E66" s="256" t="s">
        <v>47</v>
      </c>
      <c r="F66" s="256">
        <f t="shared" si="2"/>
        <v>4784.4667409884805</v>
      </c>
      <c r="G66" s="45">
        <v>51500</v>
      </c>
      <c r="H66" s="46" t="s">
        <v>500</v>
      </c>
      <c r="I66" s="257" t="s">
        <v>479</v>
      </c>
      <c r="J66" s="253" t="s">
        <v>201</v>
      </c>
      <c r="K66" s="253">
        <v>3</v>
      </c>
      <c r="L66" s="258" t="s">
        <v>211</v>
      </c>
      <c r="M66" s="37" t="s">
        <v>228</v>
      </c>
      <c r="N66" s="37"/>
      <c r="O66" s="37" t="s">
        <v>195</v>
      </c>
      <c r="P66" s="253" t="s">
        <v>17</v>
      </c>
    </row>
    <row r="67" spans="1:17" s="98" customFormat="1" ht="12.75" customHeight="1">
      <c r="A67" s="219">
        <v>6</v>
      </c>
      <c r="B67" s="254" t="s">
        <v>86</v>
      </c>
      <c r="C67" s="254" t="s">
        <v>507</v>
      </c>
      <c r="D67" s="255" t="s">
        <v>499</v>
      </c>
      <c r="E67" s="256" t="s">
        <v>47</v>
      </c>
      <c r="F67" s="256">
        <f t="shared" si="2"/>
        <v>1200.018580453363</v>
      </c>
      <c r="G67" s="45">
        <v>12917</v>
      </c>
      <c r="H67" s="46" t="s">
        <v>508</v>
      </c>
      <c r="I67" s="257" t="s">
        <v>479</v>
      </c>
      <c r="J67" s="253" t="s">
        <v>408</v>
      </c>
      <c r="K67" s="253">
        <v>3</v>
      </c>
      <c r="L67" s="258" t="s">
        <v>211</v>
      </c>
      <c r="M67" s="37" t="s">
        <v>194</v>
      </c>
      <c r="N67" s="37"/>
      <c r="O67" s="37" t="s">
        <v>195</v>
      </c>
      <c r="P67" s="253" t="s">
        <v>17</v>
      </c>
    </row>
    <row r="68" spans="1:17" s="98" customFormat="1" ht="12.75" customHeight="1">
      <c r="A68" s="219">
        <v>7</v>
      </c>
      <c r="B68" s="254" t="s">
        <v>86</v>
      </c>
      <c r="C68" s="254" t="s">
        <v>505</v>
      </c>
      <c r="D68" s="255" t="s">
        <v>91</v>
      </c>
      <c r="E68" s="256" t="s">
        <v>47</v>
      </c>
      <c r="F68" s="256">
        <f t="shared" si="2"/>
        <v>5574.1360089186182</v>
      </c>
      <c r="G68" s="45">
        <v>60000</v>
      </c>
      <c r="H68" s="46" t="s">
        <v>90</v>
      </c>
      <c r="I68" s="257" t="s">
        <v>506</v>
      </c>
      <c r="J68" s="253" t="s">
        <v>201</v>
      </c>
      <c r="K68" s="253">
        <v>10</v>
      </c>
      <c r="L68" s="258" t="s">
        <v>193</v>
      </c>
      <c r="M68" s="37" t="s">
        <v>228</v>
      </c>
      <c r="N68" s="37"/>
      <c r="O68" s="37" t="s">
        <v>195</v>
      </c>
      <c r="P68" s="253" t="s">
        <v>17</v>
      </c>
    </row>
    <row r="69" spans="1:17" s="216" customFormat="1" ht="12.75" customHeight="1">
      <c r="A69" s="219">
        <v>8</v>
      </c>
      <c r="B69" s="220" t="s">
        <v>86</v>
      </c>
      <c r="C69" s="220" t="s">
        <v>407</v>
      </c>
      <c r="D69" s="35" t="s">
        <v>96</v>
      </c>
      <c r="E69" s="36" t="s">
        <v>97</v>
      </c>
      <c r="F69" s="36">
        <f t="shared" si="2"/>
        <v>4803.0471943515422</v>
      </c>
      <c r="G69" s="215">
        <v>51700</v>
      </c>
      <c r="H69" s="217" t="s">
        <v>236</v>
      </c>
      <c r="I69" s="221" t="s">
        <v>406</v>
      </c>
      <c r="J69" s="219" t="s">
        <v>408</v>
      </c>
      <c r="K69" s="219">
        <v>7</v>
      </c>
      <c r="L69" s="225" t="s">
        <v>211</v>
      </c>
      <c r="M69" s="37" t="s">
        <v>429</v>
      </c>
      <c r="N69" s="37" t="s">
        <v>436</v>
      </c>
      <c r="O69" s="38" t="s">
        <v>195</v>
      </c>
      <c r="P69" s="219" t="s">
        <v>17</v>
      </c>
    </row>
    <row r="70" spans="1:17" s="216" customFormat="1" ht="12.75" customHeight="1">
      <c r="A70" s="219">
        <v>9</v>
      </c>
      <c r="B70" s="220" t="s">
        <v>86</v>
      </c>
      <c r="C70" s="220" t="s">
        <v>510</v>
      </c>
      <c r="D70" s="35" t="s">
        <v>103</v>
      </c>
      <c r="E70" s="36" t="s">
        <v>104</v>
      </c>
      <c r="F70" s="36">
        <f t="shared" si="2"/>
        <v>5000</v>
      </c>
      <c r="G70" s="215">
        <v>53820</v>
      </c>
      <c r="H70" s="217" t="s">
        <v>155</v>
      </c>
      <c r="I70" s="221" t="s">
        <v>477</v>
      </c>
      <c r="J70" s="219" t="s">
        <v>201</v>
      </c>
      <c r="K70" s="219">
        <v>10</v>
      </c>
      <c r="L70" s="225" t="s">
        <v>193</v>
      </c>
      <c r="M70" s="37" t="s">
        <v>228</v>
      </c>
      <c r="N70" s="37"/>
      <c r="O70" s="38" t="s">
        <v>195</v>
      </c>
      <c r="P70" s="219" t="s">
        <v>17</v>
      </c>
    </row>
    <row r="71" spans="1:17" s="216" customFormat="1" ht="12.75" customHeight="1">
      <c r="A71" s="219">
        <v>10</v>
      </c>
      <c r="B71" s="220" t="s">
        <v>86</v>
      </c>
      <c r="C71" s="220" t="s">
        <v>545</v>
      </c>
      <c r="D71" s="35" t="s">
        <v>544</v>
      </c>
      <c r="E71" s="36" t="s">
        <v>104</v>
      </c>
      <c r="F71" s="36">
        <f t="shared" si="2"/>
        <v>5426.8859160163511</v>
      </c>
      <c r="G71" s="215">
        <v>58415</v>
      </c>
      <c r="H71" s="217" t="s">
        <v>495</v>
      </c>
      <c r="I71" s="221" t="s">
        <v>506</v>
      </c>
      <c r="J71" s="219" t="s">
        <v>470</v>
      </c>
      <c r="K71" s="219">
        <v>7</v>
      </c>
      <c r="L71" s="225" t="s">
        <v>193</v>
      </c>
      <c r="M71" s="37" t="s">
        <v>194</v>
      </c>
      <c r="N71" s="37"/>
      <c r="O71" s="38" t="s">
        <v>195</v>
      </c>
      <c r="P71" s="219" t="s">
        <v>17</v>
      </c>
    </row>
    <row r="72" spans="1:17" s="26" customFormat="1" ht="12.75">
      <c r="A72" s="261" t="s">
        <v>275</v>
      </c>
      <c r="B72" s="261"/>
      <c r="C72" s="261"/>
      <c r="D72" s="261"/>
      <c r="E72" s="261"/>
      <c r="F72" s="24">
        <f>SUM(F62:F71)</f>
        <v>58586.677814938688</v>
      </c>
      <c r="G72" s="262">
        <f>SUM(G62:G71)</f>
        <v>630627</v>
      </c>
      <c r="H72" s="262"/>
      <c r="I72" s="262"/>
      <c r="J72" s="262"/>
      <c r="K72" s="262"/>
      <c r="L72" s="262"/>
      <c r="M72" s="234"/>
      <c r="N72" s="239"/>
      <c r="O72" s="25"/>
      <c r="P72" s="234"/>
      <c r="Q72" s="216"/>
    </row>
    <row r="73" spans="1:17" s="29" customFormat="1" ht="20.25">
      <c r="A73" s="16" t="s">
        <v>136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27"/>
    </row>
    <row r="74" spans="1:17" s="40" customFormat="1" ht="13.5" customHeight="1">
      <c r="A74" s="217">
        <v>1</v>
      </c>
      <c r="B74" s="213" t="s">
        <v>137</v>
      </c>
      <c r="C74" s="232" t="s">
        <v>441</v>
      </c>
      <c r="D74" s="232" t="s">
        <v>139</v>
      </c>
      <c r="E74" s="230" t="s">
        <v>140</v>
      </c>
      <c r="F74" s="233">
        <f t="shared" ref="F74:F88" si="3">G74/10.764</f>
        <v>5100.3344481605354</v>
      </c>
      <c r="G74" s="233">
        <v>54900</v>
      </c>
      <c r="H74" s="230" t="s">
        <v>442</v>
      </c>
      <c r="I74" s="199" t="s">
        <v>406</v>
      </c>
      <c r="J74" s="230" t="s">
        <v>443</v>
      </c>
      <c r="K74" s="217">
        <v>3</v>
      </c>
      <c r="L74" s="213" t="s">
        <v>422</v>
      </c>
      <c r="M74" s="48" t="s">
        <v>228</v>
      </c>
      <c r="N74" s="48" t="s">
        <v>445</v>
      </c>
      <c r="O74" s="49" t="s">
        <v>195</v>
      </c>
      <c r="P74" s="181" t="s">
        <v>17</v>
      </c>
    </row>
    <row r="75" spans="1:17" s="40" customFormat="1" ht="13.5" customHeight="1">
      <c r="A75" s="217">
        <v>2</v>
      </c>
      <c r="B75" s="213" t="s">
        <v>137</v>
      </c>
      <c r="C75" s="232" t="s">
        <v>466</v>
      </c>
      <c r="D75" s="232" t="s">
        <v>149</v>
      </c>
      <c r="E75" s="230" t="s">
        <v>35</v>
      </c>
      <c r="F75" s="233">
        <f t="shared" si="3"/>
        <v>9923.0769230769238</v>
      </c>
      <c r="G75" s="233">
        <v>106812</v>
      </c>
      <c r="H75" s="230" t="s">
        <v>465</v>
      </c>
      <c r="I75" s="199" t="s">
        <v>463</v>
      </c>
      <c r="J75" s="230" t="s">
        <v>240</v>
      </c>
      <c r="K75" s="217">
        <v>7</v>
      </c>
      <c r="L75" s="213" t="s">
        <v>193</v>
      </c>
      <c r="M75" s="48" t="s">
        <v>242</v>
      </c>
      <c r="N75" s="48" t="s">
        <v>464</v>
      </c>
      <c r="O75" s="49" t="s">
        <v>195</v>
      </c>
      <c r="P75" s="181" t="s">
        <v>17</v>
      </c>
    </row>
    <row r="76" spans="1:17" s="40" customFormat="1" ht="13.5" customHeight="1">
      <c r="A76" s="217">
        <v>3</v>
      </c>
      <c r="B76" s="213" t="s">
        <v>137</v>
      </c>
      <c r="C76" s="232" t="s">
        <v>486</v>
      </c>
      <c r="D76" s="232" t="s">
        <v>149</v>
      </c>
      <c r="E76" s="230" t="s">
        <v>35</v>
      </c>
      <c r="F76" s="233">
        <f>G76/10.764</f>
        <v>5921.9620958751393</v>
      </c>
      <c r="G76" s="233">
        <v>63744</v>
      </c>
      <c r="H76" s="230" t="s">
        <v>485</v>
      </c>
      <c r="I76" s="199" t="s">
        <v>479</v>
      </c>
      <c r="J76" s="230" t="s">
        <v>480</v>
      </c>
      <c r="K76" s="217">
        <v>5</v>
      </c>
      <c r="L76" s="213" t="s">
        <v>193</v>
      </c>
      <c r="M76" s="48" t="s">
        <v>194</v>
      </c>
      <c r="N76" s="48"/>
      <c r="O76" s="49" t="s">
        <v>195</v>
      </c>
      <c r="P76" s="181" t="s">
        <v>38</v>
      </c>
    </row>
    <row r="77" spans="1:17" s="249" customFormat="1" ht="13.5" customHeight="1">
      <c r="A77" s="230">
        <v>4</v>
      </c>
      <c r="B77" s="232" t="s">
        <v>137</v>
      </c>
      <c r="C77" s="232" t="s">
        <v>471</v>
      </c>
      <c r="D77" s="232" t="s">
        <v>148</v>
      </c>
      <c r="E77" s="230" t="s">
        <v>41</v>
      </c>
      <c r="F77" s="233">
        <f t="shared" si="3"/>
        <v>3716.0906726124122</v>
      </c>
      <c r="G77" s="233">
        <v>40000</v>
      </c>
      <c r="H77" s="230" t="s">
        <v>147</v>
      </c>
      <c r="I77" s="199" t="s">
        <v>406</v>
      </c>
      <c r="J77" s="230" t="s">
        <v>269</v>
      </c>
      <c r="K77" s="230">
        <v>3</v>
      </c>
      <c r="L77" s="232" t="s">
        <v>193</v>
      </c>
      <c r="M77" s="248" t="s">
        <v>194</v>
      </c>
      <c r="N77" s="248" t="s">
        <v>445</v>
      </c>
      <c r="O77" s="248" t="s">
        <v>195</v>
      </c>
      <c r="P77" s="199" t="s">
        <v>17</v>
      </c>
    </row>
    <row r="78" spans="1:17" s="249" customFormat="1" ht="13.5" customHeight="1">
      <c r="A78" s="230">
        <v>5</v>
      </c>
      <c r="B78" s="232" t="s">
        <v>137</v>
      </c>
      <c r="C78" s="232" t="s">
        <v>280</v>
      </c>
      <c r="D78" s="232" t="s">
        <v>148</v>
      </c>
      <c r="E78" s="230" t="s">
        <v>41</v>
      </c>
      <c r="F78" s="233">
        <f t="shared" si="3"/>
        <v>3716.0906726124122</v>
      </c>
      <c r="G78" s="233">
        <v>40000</v>
      </c>
      <c r="H78" s="230" t="s">
        <v>147</v>
      </c>
      <c r="I78" s="199" t="s">
        <v>479</v>
      </c>
      <c r="J78" s="230" t="s">
        <v>201</v>
      </c>
      <c r="K78" s="230">
        <v>3</v>
      </c>
      <c r="L78" s="232" t="s">
        <v>193</v>
      </c>
      <c r="M78" s="248"/>
      <c r="N78" s="248"/>
      <c r="O78" s="248" t="s">
        <v>195</v>
      </c>
      <c r="P78" s="199" t="s">
        <v>17</v>
      </c>
    </row>
    <row r="79" spans="1:17" s="249" customFormat="1" ht="13.5" customHeight="1">
      <c r="A79" s="230">
        <v>6</v>
      </c>
      <c r="B79" s="232" t="s">
        <v>137</v>
      </c>
      <c r="C79" s="232" t="s">
        <v>516</v>
      </c>
      <c r="D79" s="232" t="s">
        <v>148</v>
      </c>
      <c r="E79" s="230" t="s">
        <v>41</v>
      </c>
      <c r="F79" s="233">
        <f t="shared" si="3"/>
        <v>3483.8350055741362</v>
      </c>
      <c r="G79" s="233">
        <v>37500</v>
      </c>
      <c r="H79" s="230" t="s">
        <v>517</v>
      </c>
      <c r="I79" s="199" t="s">
        <v>479</v>
      </c>
      <c r="J79" s="230" t="s">
        <v>201</v>
      </c>
      <c r="K79" s="230">
        <v>5</v>
      </c>
      <c r="L79" s="232" t="s">
        <v>193</v>
      </c>
      <c r="M79" s="248" t="s">
        <v>228</v>
      </c>
      <c r="N79" s="248"/>
      <c r="O79" s="248" t="s">
        <v>195</v>
      </c>
      <c r="P79" s="199" t="s">
        <v>17</v>
      </c>
    </row>
    <row r="80" spans="1:17" s="40" customFormat="1" ht="13.5" customHeight="1">
      <c r="A80" s="230">
        <v>7</v>
      </c>
      <c r="B80" s="213" t="s">
        <v>137</v>
      </c>
      <c r="C80" s="232" t="s">
        <v>276</v>
      </c>
      <c r="D80" s="232" t="s">
        <v>277</v>
      </c>
      <c r="E80" s="230" t="s">
        <v>47</v>
      </c>
      <c r="F80" s="233">
        <f t="shared" si="3"/>
        <v>13935.340022296545</v>
      </c>
      <c r="G80" s="233">
        <v>150000</v>
      </c>
      <c r="H80" s="230" t="s">
        <v>278</v>
      </c>
      <c r="I80" s="199" t="s">
        <v>205</v>
      </c>
      <c r="J80" s="230" t="s">
        <v>279</v>
      </c>
      <c r="K80" s="217">
        <v>3</v>
      </c>
      <c r="L80" s="213" t="s">
        <v>211</v>
      </c>
      <c r="M80" s="48" t="s">
        <v>194</v>
      </c>
      <c r="N80" s="48" t="s">
        <v>464</v>
      </c>
      <c r="O80" s="49" t="s">
        <v>195</v>
      </c>
      <c r="P80" s="181" t="s">
        <v>17</v>
      </c>
    </row>
    <row r="81" spans="1:17" s="249" customFormat="1" ht="13.5" customHeight="1">
      <c r="A81" s="230">
        <v>8</v>
      </c>
      <c r="B81" s="232" t="s">
        <v>137</v>
      </c>
      <c r="C81" s="232" t="s">
        <v>497</v>
      </c>
      <c r="D81" s="232" t="s">
        <v>277</v>
      </c>
      <c r="E81" s="230" t="s">
        <v>47</v>
      </c>
      <c r="F81" s="233">
        <f t="shared" si="3"/>
        <v>16722.408026755853</v>
      </c>
      <c r="G81" s="233">
        <v>180000</v>
      </c>
      <c r="H81" s="230" t="s">
        <v>236</v>
      </c>
      <c r="I81" s="199" t="s">
        <v>479</v>
      </c>
      <c r="J81" s="230" t="s">
        <v>408</v>
      </c>
      <c r="K81" s="230">
        <v>15</v>
      </c>
      <c r="L81" s="232" t="s">
        <v>193</v>
      </c>
      <c r="M81" s="248" t="s">
        <v>194</v>
      </c>
      <c r="N81" s="248"/>
      <c r="O81" s="248" t="s">
        <v>195</v>
      </c>
      <c r="P81" s="199" t="s">
        <v>17</v>
      </c>
    </row>
    <row r="82" spans="1:17" s="40" customFormat="1" ht="13.5" customHeight="1">
      <c r="A82" s="230">
        <v>9</v>
      </c>
      <c r="B82" s="213" t="s">
        <v>137</v>
      </c>
      <c r="C82" s="218" t="s">
        <v>539</v>
      </c>
      <c r="D82" s="218" t="s">
        <v>144</v>
      </c>
      <c r="E82" s="217" t="s">
        <v>49</v>
      </c>
      <c r="F82" s="215">
        <f t="shared" si="3"/>
        <v>1400.0371609067263</v>
      </c>
      <c r="G82" s="215">
        <v>15070</v>
      </c>
      <c r="H82" s="217" t="s">
        <v>281</v>
      </c>
      <c r="I82" s="181" t="s">
        <v>216</v>
      </c>
      <c r="J82" s="215" t="s">
        <v>201</v>
      </c>
      <c r="K82" s="217" t="s">
        <v>258</v>
      </c>
      <c r="L82" s="22" t="s">
        <v>258</v>
      </c>
      <c r="M82" s="175" t="s">
        <v>228</v>
      </c>
      <c r="N82" s="175"/>
      <c r="O82" s="39" t="s">
        <v>213</v>
      </c>
      <c r="P82" s="181" t="s">
        <v>17</v>
      </c>
    </row>
    <row r="83" spans="1:17" s="40" customFormat="1" ht="13.5" customHeight="1">
      <c r="A83" s="230">
        <v>10</v>
      </c>
      <c r="B83" s="213" t="s">
        <v>137</v>
      </c>
      <c r="C83" s="218" t="s">
        <v>282</v>
      </c>
      <c r="D83" s="218" t="s">
        <v>144</v>
      </c>
      <c r="E83" s="217" t="s">
        <v>49</v>
      </c>
      <c r="F83" s="215">
        <f t="shared" si="3"/>
        <v>2810.2935711631367</v>
      </c>
      <c r="G83" s="215">
        <v>30250</v>
      </c>
      <c r="H83" s="217" t="s">
        <v>281</v>
      </c>
      <c r="I83" s="181" t="s">
        <v>216</v>
      </c>
      <c r="J83" s="215" t="s">
        <v>283</v>
      </c>
      <c r="K83" s="217">
        <v>5</v>
      </c>
      <c r="L83" s="22" t="s">
        <v>211</v>
      </c>
      <c r="M83" s="175" t="s">
        <v>212</v>
      </c>
      <c r="N83" s="175"/>
      <c r="O83" s="39" t="s">
        <v>213</v>
      </c>
      <c r="P83" s="181" t="s">
        <v>17</v>
      </c>
    </row>
    <row r="84" spans="1:17" s="40" customFormat="1" ht="13.5" customHeight="1">
      <c r="A84" s="230">
        <v>11</v>
      </c>
      <c r="B84" s="213" t="s">
        <v>137</v>
      </c>
      <c r="C84" s="218" t="s">
        <v>535</v>
      </c>
      <c r="D84" s="218" t="s">
        <v>144</v>
      </c>
      <c r="E84" s="217" t="s">
        <v>49</v>
      </c>
      <c r="F84" s="215">
        <f t="shared" si="3"/>
        <v>5036.975102192494</v>
      </c>
      <c r="G84" s="215">
        <v>54218</v>
      </c>
      <c r="H84" s="217" t="s">
        <v>518</v>
      </c>
      <c r="I84" s="181" t="s">
        <v>479</v>
      </c>
      <c r="J84" s="215" t="s">
        <v>408</v>
      </c>
      <c r="K84" s="217" t="s">
        <v>258</v>
      </c>
      <c r="L84" s="22" t="s">
        <v>193</v>
      </c>
      <c r="M84" s="175" t="s">
        <v>194</v>
      </c>
      <c r="N84" s="175"/>
      <c r="O84" s="39" t="s">
        <v>213</v>
      </c>
      <c r="P84" s="181" t="s">
        <v>17</v>
      </c>
    </row>
    <row r="85" spans="1:17" s="40" customFormat="1" ht="13.5" customHeight="1">
      <c r="A85" s="230">
        <v>12</v>
      </c>
      <c r="B85" s="213" t="s">
        <v>137</v>
      </c>
      <c r="C85" s="218" t="s">
        <v>526</v>
      </c>
      <c r="D85" s="218" t="s">
        <v>144</v>
      </c>
      <c r="E85" s="217" t="s">
        <v>49</v>
      </c>
      <c r="F85" s="215">
        <f t="shared" si="3"/>
        <v>3485.0427350427353</v>
      </c>
      <c r="G85" s="215">
        <v>37513</v>
      </c>
      <c r="H85" s="217" t="s">
        <v>519</v>
      </c>
      <c r="I85" s="181" t="s">
        <v>479</v>
      </c>
      <c r="J85" s="215" t="s">
        <v>408</v>
      </c>
      <c r="K85" s="217" t="s">
        <v>258</v>
      </c>
      <c r="L85" s="22" t="s">
        <v>525</v>
      </c>
      <c r="M85" s="175" t="s">
        <v>524</v>
      </c>
      <c r="N85" s="175"/>
      <c r="O85" s="39" t="s">
        <v>213</v>
      </c>
      <c r="P85" s="181" t="s">
        <v>17</v>
      </c>
    </row>
    <row r="86" spans="1:17" s="214" customFormat="1" ht="13.5">
      <c r="A86" s="210">
        <v>13</v>
      </c>
      <c r="B86" s="211" t="s">
        <v>137</v>
      </c>
      <c r="C86" s="211" t="s">
        <v>523</v>
      </c>
      <c r="D86" s="211" t="s">
        <v>474</v>
      </c>
      <c r="E86" s="210" t="s">
        <v>49</v>
      </c>
      <c r="F86" s="212">
        <f t="shared" si="3"/>
        <v>2668.9892233370497</v>
      </c>
      <c r="G86" s="212">
        <v>28729</v>
      </c>
      <c r="H86" s="210" t="s">
        <v>529</v>
      </c>
      <c r="I86" s="21" t="s">
        <v>406</v>
      </c>
      <c r="J86" s="210" t="s">
        <v>201</v>
      </c>
      <c r="K86" s="210" t="s">
        <v>258</v>
      </c>
      <c r="L86" s="211" t="s">
        <v>193</v>
      </c>
      <c r="M86" s="211" t="s">
        <v>194</v>
      </c>
      <c r="N86" s="211" t="s">
        <v>445</v>
      </c>
      <c r="O86" s="213" t="s">
        <v>213</v>
      </c>
      <c r="P86" s="210" t="s">
        <v>38</v>
      </c>
    </row>
    <row r="87" spans="1:17" s="214" customFormat="1" ht="13.5">
      <c r="A87" s="210">
        <v>14</v>
      </c>
      <c r="B87" s="211" t="s">
        <v>137</v>
      </c>
      <c r="C87" s="211" t="s">
        <v>527</v>
      </c>
      <c r="D87" s="211" t="s">
        <v>474</v>
      </c>
      <c r="E87" s="210" t="s">
        <v>49</v>
      </c>
      <c r="F87" s="212">
        <f t="shared" si="3"/>
        <v>2195.0018580453366</v>
      </c>
      <c r="G87" s="212">
        <v>23627</v>
      </c>
      <c r="H87" s="210" t="s">
        <v>529</v>
      </c>
      <c r="I87" s="21" t="s">
        <v>479</v>
      </c>
      <c r="J87" s="210" t="s">
        <v>201</v>
      </c>
      <c r="K87" s="210" t="s">
        <v>258</v>
      </c>
      <c r="L87" s="211" t="s">
        <v>193</v>
      </c>
      <c r="M87" s="211" t="s">
        <v>228</v>
      </c>
      <c r="N87" s="211"/>
      <c r="O87" s="213" t="s">
        <v>213</v>
      </c>
      <c r="P87" s="210" t="s">
        <v>38</v>
      </c>
    </row>
    <row r="88" spans="1:17" s="40" customFormat="1" ht="13.5" customHeight="1">
      <c r="A88" s="230">
        <v>15</v>
      </c>
      <c r="B88" s="213" t="s">
        <v>137</v>
      </c>
      <c r="C88" s="218" t="s">
        <v>481</v>
      </c>
      <c r="D88" s="218" t="s">
        <v>482</v>
      </c>
      <c r="E88" s="217" t="s">
        <v>483</v>
      </c>
      <c r="F88" s="215">
        <f t="shared" si="3"/>
        <v>15654.031958379785</v>
      </c>
      <c r="G88" s="215">
        <v>168500</v>
      </c>
      <c r="H88" s="217" t="s">
        <v>236</v>
      </c>
      <c r="I88" s="181" t="s">
        <v>479</v>
      </c>
      <c r="J88" s="215" t="s">
        <v>201</v>
      </c>
      <c r="K88" s="217">
        <v>10</v>
      </c>
      <c r="L88" s="22" t="s">
        <v>484</v>
      </c>
      <c r="M88" s="175" t="s">
        <v>194</v>
      </c>
      <c r="N88" s="175"/>
      <c r="O88" s="39" t="s">
        <v>195</v>
      </c>
      <c r="P88" s="181" t="s">
        <v>17</v>
      </c>
    </row>
    <row r="89" spans="1:17" s="26" customFormat="1" ht="12.75">
      <c r="A89" s="261" t="s">
        <v>284</v>
      </c>
      <c r="B89" s="264"/>
      <c r="C89" s="264"/>
      <c r="D89" s="264"/>
      <c r="E89" s="264"/>
      <c r="F89" s="259">
        <f>SUM(F74:F88)</f>
        <v>95769.50947603122</v>
      </c>
      <c r="G89" s="262">
        <f>SUM(G74:G88)</f>
        <v>1030863</v>
      </c>
      <c r="H89" s="262"/>
      <c r="I89" s="262"/>
      <c r="J89" s="262"/>
      <c r="K89" s="262"/>
      <c r="L89" s="262"/>
      <c r="M89" s="262"/>
      <c r="N89" s="262"/>
      <c r="O89" s="262"/>
      <c r="P89" s="262"/>
      <c r="Q89" s="216"/>
    </row>
    <row r="90" spans="1:17" s="44" customFormat="1" ht="20.25">
      <c r="A90" s="16" t="s">
        <v>172</v>
      </c>
      <c r="B90" s="41"/>
      <c r="C90" s="41"/>
      <c r="D90" s="41"/>
      <c r="E90" s="41"/>
      <c r="F90" s="41"/>
      <c r="G90" s="42"/>
      <c r="H90" s="42"/>
      <c r="I90" s="42"/>
      <c r="J90" s="42"/>
      <c r="K90" s="42"/>
      <c r="L90" s="42"/>
      <c r="M90" s="42"/>
      <c r="N90" s="42"/>
      <c r="O90" s="42"/>
      <c r="P90" s="43"/>
    </row>
    <row r="91" spans="1:17" s="180" customFormat="1" ht="13.5">
      <c r="A91" s="217">
        <v>1</v>
      </c>
      <c r="B91" s="200" t="s">
        <v>173</v>
      </c>
      <c r="C91" s="231" t="s">
        <v>285</v>
      </c>
      <c r="D91" s="231" t="s">
        <v>286</v>
      </c>
      <c r="E91" s="233" t="s">
        <v>287</v>
      </c>
      <c r="F91" s="233">
        <f>G91/10.764</f>
        <v>4000.0000000000005</v>
      </c>
      <c r="G91" s="233">
        <v>43056</v>
      </c>
      <c r="H91" s="230" t="s">
        <v>163</v>
      </c>
      <c r="I91" s="199" t="s">
        <v>216</v>
      </c>
      <c r="J91" s="230" t="s">
        <v>288</v>
      </c>
      <c r="K91" s="230">
        <v>3</v>
      </c>
      <c r="L91" s="231" t="s">
        <v>193</v>
      </c>
      <c r="M91" s="231" t="s">
        <v>194</v>
      </c>
      <c r="N91" s="240" t="s">
        <v>446</v>
      </c>
      <c r="O91" s="224" t="s">
        <v>195</v>
      </c>
      <c r="P91" s="217" t="s">
        <v>38</v>
      </c>
    </row>
    <row r="92" spans="1:17" s="216" customFormat="1" ht="13.5">
      <c r="A92" s="217">
        <v>2</v>
      </c>
      <c r="B92" s="200" t="s">
        <v>173</v>
      </c>
      <c r="C92" s="231" t="s">
        <v>285</v>
      </c>
      <c r="D92" s="231" t="s">
        <v>286</v>
      </c>
      <c r="E92" s="233" t="s">
        <v>287</v>
      </c>
      <c r="F92" s="233">
        <f>G92/10.764</f>
        <v>2744.9832775919735</v>
      </c>
      <c r="G92" s="233">
        <v>29547</v>
      </c>
      <c r="H92" s="230" t="s">
        <v>163</v>
      </c>
      <c r="I92" s="199" t="s">
        <v>198</v>
      </c>
      <c r="J92" s="230" t="s">
        <v>288</v>
      </c>
      <c r="K92" s="230">
        <v>3</v>
      </c>
      <c r="L92" s="231" t="s">
        <v>193</v>
      </c>
      <c r="M92" s="231" t="s">
        <v>228</v>
      </c>
      <c r="N92" s="240" t="s">
        <v>446</v>
      </c>
      <c r="O92" s="224" t="s">
        <v>195</v>
      </c>
      <c r="P92" s="217" t="s">
        <v>38</v>
      </c>
    </row>
    <row r="93" spans="1:17" s="26" customFormat="1" ht="13.5">
      <c r="A93" s="217">
        <v>3</v>
      </c>
      <c r="B93" s="200" t="s">
        <v>173</v>
      </c>
      <c r="C93" s="231" t="s">
        <v>289</v>
      </c>
      <c r="D93" s="231" t="s">
        <v>175</v>
      </c>
      <c r="E93" s="233" t="s">
        <v>104</v>
      </c>
      <c r="F93" s="233">
        <f>G93/10.764</f>
        <v>13000</v>
      </c>
      <c r="G93" s="233">
        <v>139932</v>
      </c>
      <c r="H93" s="230" t="s">
        <v>236</v>
      </c>
      <c r="I93" s="199" t="s">
        <v>216</v>
      </c>
      <c r="J93" s="230" t="s">
        <v>201</v>
      </c>
      <c r="K93" s="230">
        <v>15</v>
      </c>
      <c r="L93" s="231" t="s">
        <v>193</v>
      </c>
      <c r="M93" s="231" t="s">
        <v>194</v>
      </c>
      <c r="N93" s="240"/>
      <c r="O93" s="224" t="s">
        <v>195</v>
      </c>
      <c r="P93" s="217" t="s">
        <v>17</v>
      </c>
    </row>
    <row r="94" spans="1:17" s="26" customFormat="1" ht="12.75">
      <c r="A94" s="261" t="s">
        <v>290</v>
      </c>
      <c r="B94" s="261"/>
      <c r="C94" s="261"/>
      <c r="D94" s="261"/>
      <c r="E94" s="261" t="s">
        <v>291</v>
      </c>
      <c r="F94" s="24">
        <f>SUM(F91:F93)</f>
        <v>19744.983277591975</v>
      </c>
      <c r="G94" s="262">
        <f>SUM(G91:G93)</f>
        <v>212535</v>
      </c>
      <c r="H94" s="262"/>
      <c r="I94" s="262"/>
      <c r="J94" s="262"/>
      <c r="K94" s="262"/>
      <c r="L94" s="262"/>
      <c r="M94" s="234"/>
      <c r="N94" s="239"/>
      <c r="O94" s="234"/>
      <c r="P94" s="234"/>
    </row>
    <row r="95" spans="1:17" s="29" customFormat="1" ht="20.25">
      <c r="A95" s="16" t="s">
        <v>150</v>
      </c>
      <c r="B95" s="17"/>
      <c r="C95" s="17"/>
      <c r="D95" s="17"/>
      <c r="E95" s="47"/>
      <c r="F95" s="47"/>
      <c r="G95" s="17"/>
      <c r="H95" s="17"/>
      <c r="I95" s="17"/>
      <c r="J95" s="17"/>
      <c r="K95" s="17"/>
      <c r="L95" s="17"/>
      <c r="M95" s="17"/>
      <c r="N95" s="17"/>
      <c r="O95" s="17"/>
      <c r="P95" s="27"/>
    </row>
    <row r="96" spans="1:17" s="23" customFormat="1" ht="13.5">
      <c r="A96" s="217">
        <v>1</v>
      </c>
      <c r="B96" s="200" t="s">
        <v>151</v>
      </c>
      <c r="C96" s="231" t="s">
        <v>292</v>
      </c>
      <c r="D96" s="231" t="s">
        <v>293</v>
      </c>
      <c r="E96" s="230" t="s">
        <v>41</v>
      </c>
      <c r="F96" s="233">
        <f t="shared" ref="F96:F102" si="4">G96/10.764</f>
        <v>6742.8465254552211</v>
      </c>
      <c r="G96" s="233">
        <v>72580</v>
      </c>
      <c r="H96" s="230" t="s">
        <v>163</v>
      </c>
      <c r="I96" s="199" t="s">
        <v>205</v>
      </c>
      <c r="J96" s="230" t="s">
        <v>201</v>
      </c>
      <c r="K96" s="230">
        <v>3</v>
      </c>
      <c r="L96" s="231" t="s">
        <v>211</v>
      </c>
      <c r="M96" s="231" t="s">
        <v>194</v>
      </c>
      <c r="N96" s="240"/>
      <c r="O96" s="224" t="s">
        <v>195</v>
      </c>
      <c r="P96" s="217" t="s">
        <v>17</v>
      </c>
    </row>
    <row r="97" spans="1:16" s="179" customFormat="1" ht="13.5">
      <c r="A97" s="217">
        <v>2</v>
      </c>
      <c r="B97" s="200" t="s">
        <v>151</v>
      </c>
      <c r="C97" s="231" t="s">
        <v>294</v>
      </c>
      <c r="D97" s="231" t="s">
        <v>295</v>
      </c>
      <c r="E97" s="230" t="s">
        <v>41</v>
      </c>
      <c r="F97" s="233">
        <f t="shared" si="4"/>
        <v>16889.632107023412</v>
      </c>
      <c r="G97" s="233">
        <v>181800</v>
      </c>
      <c r="H97" s="230" t="s">
        <v>236</v>
      </c>
      <c r="I97" s="199" t="s">
        <v>191</v>
      </c>
      <c r="J97" s="230" t="s">
        <v>296</v>
      </c>
      <c r="K97" s="230">
        <v>5</v>
      </c>
      <c r="L97" s="231" t="s">
        <v>211</v>
      </c>
      <c r="M97" s="231" t="s">
        <v>194</v>
      </c>
      <c r="N97" s="240"/>
      <c r="O97" s="224" t="s">
        <v>195</v>
      </c>
      <c r="P97" s="217" t="s">
        <v>17</v>
      </c>
    </row>
    <row r="98" spans="1:16" s="193" customFormat="1" ht="13.5">
      <c r="A98" s="217">
        <v>3</v>
      </c>
      <c r="B98" s="200" t="s">
        <v>151</v>
      </c>
      <c r="C98" s="231" t="s">
        <v>297</v>
      </c>
      <c r="D98" s="231" t="s">
        <v>293</v>
      </c>
      <c r="E98" s="230" t="s">
        <v>41</v>
      </c>
      <c r="F98" s="233">
        <f t="shared" si="4"/>
        <v>4975.9383128948348</v>
      </c>
      <c r="G98" s="233">
        <v>53561</v>
      </c>
      <c r="H98" s="230" t="s">
        <v>163</v>
      </c>
      <c r="I98" s="199" t="s">
        <v>231</v>
      </c>
      <c r="J98" s="230" t="s">
        <v>201</v>
      </c>
      <c r="K98" s="230">
        <v>3</v>
      </c>
      <c r="L98" s="231" t="s">
        <v>211</v>
      </c>
      <c r="M98" s="231" t="s">
        <v>430</v>
      </c>
      <c r="N98" s="240" t="s">
        <v>445</v>
      </c>
      <c r="O98" s="224" t="s">
        <v>213</v>
      </c>
      <c r="P98" s="217" t="s">
        <v>17</v>
      </c>
    </row>
    <row r="99" spans="1:16" s="214" customFormat="1" ht="13.5">
      <c r="A99" s="217">
        <v>4</v>
      </c>
      <c r="B99" s="200" t="s">
        <v>151</v>
      </c>
      <c r="C99" s="222" t="s">
        <v>298</v>
      </c>
      <c r="D99" s="231" t="s">
        <v>293</v>
      </c>
      <c r="E99" s="230" t="s">
        <v>41</v>
      </c>
      <c r="F99" s="233">
        <f t="shared" si="4"/>
        <v>9749.9070977331849</v>
      </c>
      <c r="G99" s="233">
        <v>104948</v>
      </c>
      <c r="H99" s="230" t="s">
        <v>299</v>
      </c>
      <c r="I99" s="199" t="s">
        <v>219</v>
      </c>
      <c r="J99" s="230" t="s">
        <v>257</v>
      </c>
      <c r="K99" s="230">
        <v>3</v>
      </c>
      <c r="L99" s="231" t="s">
        <v>211</v>
      </c>
      <c r="M99" s="231" t="s">
        <v>431</v>
      </c>
      <c r="N99" s="240" t="s">
        <v>445</v>
      </c>
      <c r="O99" s="224" t="s">
        <v>213</v>
      </c>
      <c r="P99" s="217" t="s">
        <v>17</v>
      </c>
    </row>
    <row r="100" spans="1:16" s="214" customFormat="1" ht="13.5">
      <c r="A100" s="217">
        <v>5</v>
      </c>
      <c r="B100" s="200" t="s">
        <v>151</v>
      </c>
      <c r="C100" s="222" t="s">
        <v>297</v>
      </c>
      <c r="D100" s="231" t="s">
        <v>293</v>
      </c>
      <c r="E100" s="230" t="s">
        <v>41</v>
      </c>
      <c r="F100" s="233">
        <f t="shared" si="4"/>
        <v>3371.4232627276106</v>
      </c>
      <c r="G100" s="233">
        <v>36290</v>
      </c>
      <c r="H100" s="230" t="s">
        <v>163</v>
      </c>
      <c r="I100" s="199" t="s">
        <v>506</v>
      </c>
      <c r="J100" s="230" t="s">
        <v>470</v>
      </c>
      <c r="K100" s="230">
        <v>5</v>
      </c>
      <c r="L100" s="231" t="s">
        <v>211</v>
      </c>
      <c r="M100" s="231" t="s">
        <v>228</v>
      </c>
      <c r="N100" s="240"/>
      <c r="O100" s="224" t="s">
        <v>213</v>
      </c>
      <c r="P100" s="217" t="s">
        <v>17</v>
      </c>
    </row>
    <row r="101" spans="1:16" s="214" customFormat="1" ht="13.5">
      <c r="A101" s="217">
        <v>6</v>
      </c>
      <c r="B101" s="200" t="s">
        <v>151</v>
      </c>
      <c r="C101" s="222" t="s">
        <v>540</v>
      </c>
      <c r="D101" s="231" t="s">
        <v>165</v>
      </c>
      <c r="E101" s="230" t="s">
        <v>49</v>
      </c>
      <c r="F101" s="233">
        <f t="shared" si="4"/>
        <v>7153.0100334448161</v>
      </c>
      <c r="G101" s="233">
        <v>76995</v>
      </c>
      <c r="H101" s="230" t="s">
        <v>166</v>
      </c>
      <c r="I101" s="199" t="s">
        <v>406</v>
      </c>
      <c r="J101" s="230" t="s">
        <v>201</v>
      </c>
      <c r="K101" s="230" t="s">
        <v>258</v>
      </c>
      <c r="L101" s="231" t="s">
        <v>193</v>
      </c>
      <c r="M101" s="231" t="s">
        <v>228</v>
      </c>
      <c r="N101" s="240"/>
      <c r="O101" s="224" t="s">
        <v>213</v>
      </c>
      <c r="P101" s="217" t="s">
        <v>17</v>
      </c>
    </row>
    <row r="102" spans="1:16" s="214" customFormat="1" ht="13.5">
      <c r="A102" s="217">
        <v>7</v>
      </c>
      <c r="B102" s="200" t="s">
        <v>151</v>
      </c>
      <c r="C102" s="222" t="s">
        <v>461</v>
      </c>
      <c r="D102" s="231" t="s">
        <v>153</v>
      </c>
      <c r="E102" s="230" t="s">
        <v>462</v>
      </c>
      <c r="F102" s="233">
        <f t="shared" si="4"/>
        <v>2322.092159048681</v>
      </c>
      <c r="G102" s="233">
        <v>24995</v>
      </c>
      <c r="H102" s="230" t="s">
        <v>22</v>
      </c>
      <c r="I102" s="199" t="s">
        <v>463</v>
      </c>
      <c r="J102" s="230" t="s">
        <v>192</v>
      </c>
      <c r="K102" s="230">
        <v>5</v>
      </c>
      <c r="L102" s="231" t="s">
        <v>193</v>
      </c>
      <c r="M102" s="231" t="s">
        <v>228</v>
      </c>
      <c r="N102" s="240" t="s">
        <v>464</v>
      </c>
      <c r="O102" s="224" t="s">
        <v>195</v>
      </c>
      <c r="P102" s="217" t="s">
        <v>17</v>
      </c>
    </row>
    <row r="103" spans="1:16" s="26" customFormat="1" ht="12.75">
      <c r="A103" s="261" t="s">
        <v>300</v>
      </c>
      <c r="B103" s="261"/>
      <c r="C103" s="261"/>
      <c r="D103" s="261"/>
      <c r="E103" s="261"/>
      <c r="F103" s="24">
        <f>SUM(F96:F102)</f>
        <v>51204.849498327756</v>
      </c>
      <c r="G103" s="262">
        <f>SUM(G96:G102)</f>
        <v>551169</v>
      </c>
      <c r="H103" s="262"/>
      <c r="I103" s="262"/>
      <c r="J103" s="262"/>
      <c r="K103" s="262"/>
      <c r="L103" s="262"/>
      <c r="M103" s="234"/>
      <c r="N103" s="239"/>
      <c r="O103" s="25"/>
      <c r="P103" s="234"/>
    </row>
    <row r="104" spans="1:16" s="29" customFormat="1" ht="20.25">
      <c r="A104" s="16" t="s">
        <v>130</v>
      </c>
      <c r="B104" s="17"/>
      <c r="C104" s="17"/>
      <c r="D104" s="17"/>
      <c r="E104" s="47"/>
      <c r="F104" s="47"/>
      <c r="G104" s="17"/>
      <c r="H104" s="17"/>
      <c r="I104" s="17"/>
      <c r="J104" s="17"/>
      <c r="K104" s="17"/>
      <c r="L104" s="17"/>
      <c r="M104" s="17"/>
      <c r="N104" s="17"/>
      <c r="O104" s="17"/>
      <c r="P104" s="27"/>
    </row>
    <row r="105" spans="1:16" s="23" customFormat="1" ht="13.5">
      <c r="A105" s="217">
        <v>1</v>
      </c>
      <c r="B105" s="232" t="s">
        <v>301</v>
      </c>
      <c r="C105" s="231" t="s">
        <v>302</v>
      </c>
      <c r="D105" s="232" t="s">
        <v>303</v>
      </c>
      <c r="E105" s="230" t="s">
        <v>304</v>
      </c>
      <c r="F105" s="233">
        <f>G105/10.764</f>
        <v>3000</v>
      </c>
      <c r="G105" s="233">
        <v>32292</v>
      </c>
      <c r="H105" s="230" t="s">
        <v>305</v>
      </c>
      <c r="I105" s="199" t="s">
        <v>219</v>
      </c>
      <c r="J105" s="230" t="s">
        <v>201</v>
      </c>
      <c r="K105" s="217">
        <v>10</v>
      </c>
      <c r="L105" s="213" t="s">
        <v>193</v>
      </c>
      <c r="M105" s="48" t="s">
        <v>432</v>
      </c>
      <c r="N105" s="48" t="s">
        <v>435</v>
      </c>
      <c r="O105" s="49" t="s">
        <v>195</v>
      </c>
      <c r="P105" s="181" t="s">
        <v>17</v>
      </c>
    </row>
    <row r="106" spans="1:16" s="214" customFormat="1" ht="13.5">
      <c r="A106" s="217">
        <v>2</v>
      </c>
      <c r="B106" s="232" t="s">
        <v>301</v>
      </c>
      <c r="C106" s="231" t="s">
        <v>416</v>
      </c>
      <c r="D106" s="232" t="s">
        <v>303</v>
      </c>
      <c r="E106" s="230" t="s">
        <v>304</v>
      </c>
      <c r="F106" s="233">
        <f>G106/10.764</f>
        <v>3000</v>
      </c>
      <c r="G106" s="233">
        <v>32292</v>
      </c>
      <c r="H106" s="230" t="s">
        <v>305</v>
      </c>
      <c r="I106" s="199" t="s">
        <v>219</v>
      </c>
      <c r="J106" s="230" t="s">
        <v>201</v>
      </c>
      <c r="K106" s="217">
        <v>5</v>
      </c>
      <c r="L106" s="213" t="s">
        <v>193</v>
      </c>
      <c r="M106" s="48" t="s">
        <v>433</v>
      </c>
      <c r="N106" s="48" t="s">
        <v>435</v>
      </c>
      <c r="O106" s="49" t="s">
        <v>195</v>
      </c>
      <c r="P106" s="181" t="s">
        <v>17</v>
      </c>
    </row>
    <row r="107" spans="1:16" s="214" customFormat="1" ht="13.5">
      <c r="A107" s="217">
        <v>3</v>
      </c>
      <c r="B107" s="232" t="s">
        <v>301</v>
      </c>
      <c r="C107" s="231" t="s">
        <v>417</v>
      </c>
      <c r="D107" s="232" t="s">
        <v>303</v>
      </c>
      <c r="E107" s="230" t="s">
        <v>304</v>
      </c>
      <c r="F107" s="233">
        <f>G107/10.764</f>
        <v>3000</v>
      </c>
      <c r="G107" s="233">
        <v>32292</v>
      </c>
      <c r="H107" s="230" t="s">
        <v>305</v>
      </c>
      <c r="I107" s="199" t="s">
        <v>219</v>
      </c>
      <c r="J107" s="230" t="s">
        <v>201</v>
      </c>
      <c r="K107" s="217">
        <v>5</v>
      </c>
      <c r="L107" s="213" t="s">
        <v>193</v>
      </c>
      <c r="M107" s="48" t="s">
        <v>434</v>
      </c>
      <c r="N107" s="48" t="s">
        <v>435</v>
      </c>
      <c r="O107" s="49" t="s">
        <v>195</v>
      </c>
      <c r="P107" s="181" t="s">
        <v>17</v>
      </c>
    </row>
    <row r="108" spans="1:16" s="214" customFormat="1" ht="13.5">
      <c r="A108" s="217">
        <v>4</v>
      </c>
      <c r="B108" s="232" t="s">
        <v>301</v>
      </c>
      <c r="C108" s="231" t="s">
        <v>448</v>
      </c>
      <c r="D108" s="232" t="s">
        <v>303</v>
      </c>
      <c r="E108" s="230" t="s">
        <v>304</v>
      </c>
      <c r="F108" s="233">
        <f>G108/10.764</f>
        <v>2217.6700111482724</v>
      </c>
      <c r="G108" s="233">
        <v>23871</v>
      </c>
      <c r="H108" s="230" t="s">
        <v>167</v>
      </c>
      <c r="I108" s="199" t="s">
        <v>406</v>
      </c>
      <c r="J108" s="230" t="s">
        <v>201</v>
      </c>
      <c r="K108" s="217">
        <v>5</v>
      </c>
      <c r="L108" s="213" t="s">
        <v>193</v>
      </c>
      <c r="M108" s="48" t="s">
        <v>449</v>
      </c>
      <c r="N108" s="48" t="s">
        <v>435</v>
      </c>
      <c r="O108" s="49" t="s">
        <v>195</v>
      </c>
      <c r="P108" s="181" t="s">
        <v>17</v>
      </c>
    </row>
    <row r="109" spans="1:16" s="214" customFormat="1" ht="13.5">
      <c r="A109" s="217">
        <v>5</v>
      </c>
      <c r="B109" s="232" t="s">
        <v>301</v>
      </c>
      <c r="C109" s="231" t="s">
        <v>511</v>
      </c>
      <c r="D109" s="232" t="s">
        <v>303</v>
      </c>
      <c r="E109" s="230" t="s">
        <v>304</v>
      </c>
      <c r="F109" s="233">
        <f>G109/10.764</f>
        <v>12333.890746934227</v>
      </c>
      <c r="G109" s="233">
        <v>132762</v>
      </c>
      <c r="H109" s="230" t="s">
        <v>512</v>
      </c>
      <c r="I109" s="199" t="s">
        <v>506</v>
      </c>
      <c r="J109" s="230" t="s">
        <v>201</v>
      </c>
      <c r="K109" s="217">
        <v>4</v>
      </c>
      <c r="L109" s="213" t="s">
        <v>193</v>
      </c>
      <c r="M109" s="48" t="s">
        <v>228</v>
      </c>
      <c r="N109" s="48" t="s">
        <v>435</v>
      </c>
      <c r="O109" s="49" t="s">
        <v>195</v>
      </c>
      <c r="P109" s="181" t="s">
        <v>17</v>
      </c>
    </row>
    <row r="110" spans="1:16" s="26" customFormat="1" ht="12.75">
      <c r="A110" s="261" t="s">
        <v>306</v>
      </c>
      <c r="B110" s="261"/>
      <c r="C110" s="261"/>
      <c r="D110" s="261"/>
      <c r="E110" s="261"/>
      <c r="F110" s="24">
        <f>SUM(F105:F109)</f>
        <v>23551.560758082498</v>
      </c>
      <c r="G110" s="262">
        <f>SUM(G105:G109)</f>
        <v>253509</v>
      </c>
      <c r="H110" s="262"/>
      <c r="I110" s="262"/>
      <c r="J110" s="262"/>
      <c r="K110" s="262"/>
      <c r="L110" s="262"/>
      <c r="M110" s="234"/>
      <c r="N110" s="239"/>
      <c r="O110" s="25"/>
      <c r="P110" s="234"/>
    </row>
    <row r="111" spans="1:16" s="29" customFormat="1" ht="20.25">
      <c r="A111" s="16" t="s">
        <v>307</v>
      </c>
      <c r="B111" s="17"/>
      <c r="C111" s="17"/>
      <c r="D111" s="17"/>
      <c r="E111" s="47"/>
      <c r="F111" s="47"/>
      <c r="G111" s="17"/>
      <c r="H111" s="17"/>
      <c r="I111" s="17"/>
      <c r="J111" s="17"/>
      <c r="K111" s="17"/>
      <c r="L111" s="17"/>
      <c r="M111" s="17"/>
      <c r="N111" s="17"/>
      <c r="O111" s="17"/>
      <c r="P111" s="27"/>
    </row>
    <row r="112" spans="1:16" s="179" customFormat="1" ht="13.5">
      <c r="A112" s="217">
        <v>1</v>
      </c>
      <c r="B112" s="232" t="s">
        <v>308</v>
      </c>
      <c r="C112" s="186"/>
      <c r="D112" s="187"/>
      <c r="E112" s="188"/>
      <c r="F112" s="188"/>
      <c r="G112" s="233"/>
      <c r="H112" s="230"/>
      <c r="I112" s="189"/>
      <c r="J112" s="185"/>
      <c r="K112" s="185"/>
      <c r="L112" s="190"/>
      <c r="M112" s="176"/>
      <c r="N112" s="176"/>
      <c r="O112" s="176"/>
      <c r="P112" s="185"/>
    </row>
    <row r="113" spans="1:16" s="180" customFormat="1" ht="12.75">
      <c r="A113" s="261" t="s">
        <v>309</v>
      </c>
      <c r="B113" s="261"/>
      <c r="C113" s="261"/>
      <c r="D113" s="261"/>
      <c r="E113" s="261"/>
      <c r="F113" s="24">
        <f>SUM(F112:F112)</f>
        <v>0</v>
      </c>
      <c r="G113" s="262">
        <f>SUM(G112:G112)</f>
        <v>0</v>
      </c>
      <c r="H113" s="262"/>
      <c r="I113" s="262"/>
      <c r="J113" s="262"/>
      <c r="K113" s="262"/>
      <c r="L113" s="262"/>
      <c r="M113" s="234"/>
      <c r="N113" s="239"/>
      <c r="O113" s="25"/>
      <c r="P113" s="234"/>
    </row>
    <row r="114" spans="1:16" s="54" customFormat="1" ht="17.25">
      <c r="A114" s="263" t="s">
        <v>84</v>
      </c>
      <c r="B114" s="263"/>
      <c r="C114" s="263"/>
      <c r="D114" s="263"/>
      <c r="E114" s="263"/>
      <c r="F114" s="50">
        <f>SUM(F42+F48+F51+F60+F72+F89+F94+F103+F110+F113)</f>
        <v>679439.42772203661</v>
      </c>
      <c r="G114" s="13">
        <f>SUM(G42+G48+G51+G60+G72+G89+G94+G103+G110+G113)</f>
        <v>7313486</v>
      </c>
      <c r="H114" s="51"/>
      <c r="I114" s="52"/>
      <c r="J114" s="51"/>
      <c r="K114" s="53"/>
      <c r="L114" s="51"/>
      <c r="M114" s="51"/>
      <c r="N114" s="51"/>
      <c r="O114" s="51"/>
      <c r="P114" s="53"/>
    </row>
    <row r="123" spans="1:16">
      <c r="C123" s="250"/>
      <c r="E123" s="250"/>
      <c r="G123" s="250"/>
    </row>
    <row r="124" spans="1:16">
      <c r="C124" s="250"/>
      <c r="E124" s="250"/>
    </row>
    <row r="127" spans="1:16">
      <c r="E127" s="251"/>
    </row>
    <row r="129" spans="5:7">
      <c r="E129" s="251"/>
    </row>
    <row r="131" spans="5:7">
      <c r="E131" s="251"/>
      <c r="G131" s="250"/>
    </row>
  </sheetData>
  <autoFilter ref="A4:P114" xr:uid="{CFD705E7-85D7-4836-B708-667FA81B297A}"/>
  <mergeCells count="23">
    <mergeCell ref="A2:P2"/>
    <mergeCell ref="A3:P3"/>
    <mergeCell ref="A42:E42"/>
    <mergeCell ref="G42:L42"/>
    <mergeCell ref="A48:E48"/>
    <mergeCell ref="G48:L48"/>
    <mergeCell ref="A51:E51"/>
    <mergeCell ref="G51:L51"/>
    <mergeCell ref="A60:E60"/>
    <mergeCell ref="G60:L60"/>
    <mergeCell ref="A72:E72"/>
    <mergeCell ref="G72:L72"/>
    <mergeCell ref="A110:E110"/>
    <mergeCell ref="G110:L110"/>
    <mergeCell ref="A114:E114"/>
    <mergeCell ref="A89:E89"/>
    <mergeCell ref="G89:P89"/>
    <mergeCell ref="A94:E94"/>
    <mergeCell ref="G94:L94"/>
    <mergeCell ref="A103:E103"/>
    <mergeCell ref="G103:L103"/>
    <mergeCell ref="A113:E113"/>
    <mergeCell ref="G113:L113"/>
  </mergeCells>
  <pageMargins left="0.70866141732283472" right="0.70866141732283472" top="0.74803149606299213" bottom="0.74803149606299213" header="0.31496062992125984" footer="0.31496062992125984"/>
  <pageSetup paperSize="17" scale="6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92DD-58EB-44A2-9E17-E7794BDCBC32}">
  <dimension ref="A1:S94"/>
  <sheetViews>
    <sheetView showWhiteSpace="0" zoomScaleNormal="100" zoomScaleSheetLayoutView="90" workbookViewId="0">
      <selection activeCell="E94" sqref="E94"/>
    </sheetView>
  </sheetViews>
  <sheetFormatPr baseColWidth="10" defaultColWidth="11.42578125" defaultRowHeight="15"/>
  <cols>
    <col min="1" max="1" width="3" customWidth="1"/>
    <col min="2" max="2" width="17.7109375" customWidth="1"/>
    <col min="3" max="3" width="27.7109375" customWidth="1"/>
    <col min="4" max="4" width="37.5703125" customWidth="1"/>
    <col min="5" max="5" width="22.42578125" customWidth="1"/>
    <col min="6" max="6" width="16.7109375" bestFit="1" customWidth="1"/>
    <col min="7" max="7" width="21" customWidth="1"/>
    <col min="8" max="8" width="13.5703125" customWidth="1"/>
    <col min="9" max="9" width="18" customWidth="1"/>
    <col min="10" max="10" width="34.42578125" customWidth="1"/>
    <col min="11" max="11" width="11.140625" customWidth="1"/>
  </cols>
  <sheetData>
    <row r="1" spans="1:19" s="57" customFormat="1" ht="22.5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55"/>
      <c r="M1" s="55"/>
      <c r="N1" s="55"/>
      <c r="O1" s="55"/>
      <c r="P1" s="56"/>
      <c r="Q1" s="56"/>
      <c r="R1" s="56"/>
      <c r="S1" s="56"/>
    </row>
    <row r="2" spans="1:19" s="57" customFormat="1">
      <c r="A2" s="276" t="s">
        <v>1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56"/>
      <c r="M2" s="56"/>
      <c r="N2" s="56"/>
      <c r="O2" s="56"/>
      <c r="P2" s="56"/>
      <c r="Q2" s="56"/>
      <c r="R2" s="56"/>
      <c r="S2" s="56"/>
    </row>
    <row r="3" spans="1:19" s="59" customFormat="1" ht="15" customHeight="1">
      <c r="A3" s="237"/>
      <c r="B3" s="58"/>
    </row>
    <row r="4" spans="1:19" s="66" customFormat="1" ht="15" customHeight="1">
      <c r="A4" s="60"/>
      <c r="B4" s="61" t="s">
        <v>2</v>
      </c>
      <c r="C4" s="62" t="s">
        <v>3</v>
      </c>
      <c r="D4" s="62" t="s">
        <v>4</v>
      </c>
      <c r="E4" s="62" t="s">
        <v>5</v>
      </c>
      <c r="F4" s="62" t="s">
        <v>6</v>
      </c>
      <c r="G4" s="63" t="s">
        <v>7</v>
      </c>
      <c r="H4" s="64" t="s">
        <v>8</v>
      </c>
      <c r="I4" s="65" t="s">
        <v>9</v>
      </c>
      <c r="J4" s="62" t="s">
        <v>10</v>
      </c>
      <c r="K4" s="62" t="s">
        <v>11</v>
      </c>
      <c r="L4" s="59"/>
      <c r="M4" s="59"/>
      <c r="N4" s="59"/>
      <c r="O4" s="59"/>
      <c r="P4" s="59"/>
      <c r="Q4" s="59"/>
      <c r="R4" s="59"/>
      <c r="S4" s="59"/>
    </row>
    <row r="5" spans="1:19" s="57" customFormat="1" ht="15" customHeight="1">
      <c r="A5" s="174"/>
      <c r="B5" s="270" t="s">
        <v>12</v>
      </c>
      <c r="C5" s="271"/>
      <c r="D5" s="271"/>
      <c r="E5" s="271"/>
      <c r="F5" s="271"/>
      <c r="G5" s="271"/>
      <c r="H5" s="271"/>
      <c r="I5" s="271"/>
      <c r="J5" s="236"/>
      <c r="K5" s="67"/>
      <c r="L5" s="68"/>
      <c r="M5" s="69"/>
      <c r="N5" s="56"/>
      <c r="O5" s="56"/>
      <c r="P5" s="56"/>
      <c r="Q5" s="56"/>
      <c r="R5" s="56"/>
      <c r="S5" s="56"/>
    </row>
    <row r="6" spans="1:19" s="26" customFormat="1" ht="14.25" customHeight="1">
      <c r="A6" s="230">
        <v>1</v>
      </c>
      <c r="B6" s="218" t="s">
        <v>13</v>
      </c>
      <c r="C6" s="70" t="s">
        <v>18</v>
      </c>
      <c r="D6" s="195" t="s">
        <v>19</v>
      </c>
      <c r="E6" s="195" t="s">
        <v>20</v>
      </c>
      <c r="F6" s="215">
        <f>H6/10.764</f>
        <v>7002.6012634708295</v>
      </c>
      <c r="G6" s="215">
        <f t="shared" ref="F6:G8" si="0">I6/10.764</f>
        <v>2888.7959866220735</v>
      </c>
      <c r="H6" s="196">
        <v>75376</v>
      </c>
      <c r="I6" s="215">
        <v>31095</v>
      </c>
      <c r="J6" s="197" t="s">
        <v>21</v>
      </c>
      <c r="K6" s="226" t="s">
        <v>17</v>
      </c>
      <c r="L6" s="216"/>
      <c r="M6" s="216"/>
      <c r="N6" s="216"/>
      <c r="O6" s="216"/>
      <c r="P6" s="216"/>
      <c r="Q6" s="216"/>
      <c r="R6" s="216"/>
      <c r="S6" s="216"/>
    </row>
    <row r="7" spans="1:19" s="26" customFormat="1" ht="14.25" customHeight="1">
      <c r="A7" s="230">
        <v>2</v>
      </c>
      <c r="B7" s="231" t="s">
        <v>13</v>
      </c>
      <c r="C7" s="231" t="s">
        <v>22</v>
      </c>
      <c r="D7" s="192" t="s">
        <v>23</v>
      </c>
      <c r="E7" s="192" t="s">
        <v>24</v>
      </c>
      <c r="F7" s="233">
        <f>H7/10.764</f>
        <v>13000</v>
      </c>
      <c r="G7" s="233">
        <f t="shared" si="0"/>
        <v>5000</v>
      </c>
      <c r="H7" s="184">
        <v>139932</v>
      </c>
      <c r="I7" s="184">
        <v>53820</v>
      </c>
      <c r="J7" s="197"/>
      <c r="K7" s="226" t="s">
        <v>17</v>
      </c>
      <c r="L7" s="216"/>
      <c r="M7" s="216"/>
      <c r="N7" s="216"/>
      <c r="O7" s="216"/>
      <c r="P7" s="216"/>
      <c r="Q7" s="216"/>
      <c r="R7" s="216"/>
      <c r="S7" s="216"/>
    </row>
    <row r="8" spans="1:19" s="26" customFormat="1" ht="14.25">
      <c r="A8" s="230">
        <v>3</v>
      </c>
      <c r="B8" s="231" t="s">
        <v>13</v>
      </c>
      <c r="C8" s="231" t="s">
        <v>25</v>
      </c>
      <c r="D8" s="231" t="s">
        <v>26</v>
      </c>
      <c r="E8" s="231" t="s">
        <v>27</v>
      </c>
      <c r="F8" s="233">
        <f t="shared" si="0"/>
        <v>23953.548866592348</v>
      </c>
      <c r="G8" s="233">
        <f t="shared" si="0"/>
        <v>11959.215904868079</v>
      </c>
      <c r="H8" s="233">
        <v>257836</v>
      </c>
      <c r="I8" s="233">
        <v>128729</v>
      </c>
      <c r="J8" s="197" t="s">
        <v>21</v>
      </c>
      <c r="K8" s="226" t="s">
        <v>17</v>
      </c>
      <c r="L8" s="227"/>
      <c r="M8" s="227"/>
      <c r="N8" s="227"/>
      <c r="O8" s="216"/>
      <c r="P8" s="216"/>
      <c r="Q8" s="216"/>
      <c r="R8" s="216"/>
      <c r="S8" s="216"/>
    </row>
    <row r="9" spans="1:19" s="26" customFormat="1" ht="14.25" customHeight="1">
      <c r="A9" s="230">
        <v>4</v>
      </c>
      <c r="B9" s="231" t="s">
        <v>13</v>
      </c>
      <c r="C9" s="231" t="s">
        <v>28</v>
      </c>
      <c r="D9" s="231" t="s">
        <v>29</v>
      </c>
      <c r="E9" s="231" t="s">
        <v>27</v>
      </c>
      <c r="F9" s="184">
        <f t="shared" ref="F9:G22" si="1">H9/10.764</f>
        <v>15400.037160906728</v>
      </c>
      <c r="G9" s="184">
        <f t="shared" si="1"/>
        <v>11400.037160906726</v>
      </c>
      <c r="H9" s="184">
        <v>165766</v>
      </c>
      <c r="I9" s="184">
        <v>122710</v>
      </c>
      <c r="J9" s="178"/>
      <c r="K9" s="226" t="s">
        <v>17</v>
      </c>
      <c r="L9" s="72"/>
      <c r="M9" s="216"/>
      <c r="N9" s="216"/>
      <c r="O9" s="216"/>
      <c r="P9" s="216"/>
      <c r="Q9" s="216"/>
      <c r="R9" s="216"/>
      <c r="S9" s="216"/>
    </row>
    <row r="10" spans="1:19" s="216" customFormat="1" ht="14.25" customHeight="1">
      <c r="A10" s="230">
        <v>5</v>
      </c>
      <c r="B10" s="231" t="s">
        <v>13</v>
      </c>
      <c r="C10" s="231" t="s">
        <v>415</v>
      </c>
      <c r="D10" s="231" t="s">
        <v>203</v>
      </c>
      <c r="E10" s="231" t="s">
        <v>117</v>
      </c>
      <c r="F10" s="184">
        <f t="shared" si="1"/>
        <v>13784.188034188035</v>
      </c>
      <c r="G10" s="184">
        <f>I10/10.764</f>
        <v>13784.188034188035</v>
      </c>
      <c r="H10" s="184">
        <v>148373</v>
      </c>
      <c r="I10" s="184">
        <v>148373</v>
      </c>
      <c r="J10" s="178"/>
      <c r="K10" s="226" t="s">
        <v>17</v>
      </c>
      <c r="L10" s="72"/>
    </row>
    <row r="11" spans="1:19" s="26" customFormat="1" ht="14.25" customHeight="1">
      <c r="A11" s="230">
        <v>6</v>
      </c>
      <c r="B11" s="218" t="s">
        <v>13</v>
      </c>
      <c r="C11" s="218" t="s">
        <v>33</v>
      </c>
      <c r="D11" s="218" t="s">
        <v>34</v>
      </c>
      <c r="E11" s="218" t="s">
        <v>35</v>
      </c>
      <c r="F11" s="196">
        <f t="shared" si="1"/>
        <v>11803.418803418805</v>
      </c>
      <c r="G11" s="71">
        <f t="shared" si="1"/>
        <v>11803.418803418805</v>
      </c>
      <c r="H11" s="196">
        <v>127052</v>
      </c>
      <c r="I11" s="196">
        <v>127052</v>
      </c>
      <c r="J11" s="178"/>
      <c r="K11" s="226" t="s">
        <v>17</v>
      </c>
      <c r="L11" s="72"/>
      <c r="M11" s="216"/>
      <c r="N11" s="216"/>
      <c r="O11" s="216"/>
      <c r="P11" s="216"/>
      <c r="Q11" s="216"/>
      <c r="R11" s="216"/>
      <c r="S11" s="216"/>
    </row>
    <row r="12" spans="1:19" s="26" customFormat="1" ht="14.25" customHeight="1">
      <c r="A12" s="230">
        <v>7</v>
      </c>
      <c r="B12" s="218" t="s">
        <v>13</v>
      </c>
      <c r="C12" s="218" t="s">
        <v>36</v>
      </c>
      <c r="D12" s="218" t="s">
        <v>37</v>
      </c>
      <c r="E12" s="218" t="s">
        <v>35</v>
      </c>
      <c r="F12" s="196">
        <f t="shared" si="1"/>
        <v>9000.2787068004473</v>
      </c>
      <c r="G12" s="71">
        <f t="shared" si="1"/>
        <v>7710.888145670755</v>
      </c>
      <c r="H12" s="196">
        <v>96879</v>
      </c>
      <c r="I12" s="196">
        <v>83000</v>
      </c>
      <c r="J12" s="178"/>
      <c r="K12" s="226" t="s">
        <v>38</v>
      </c>
      <c r="L12" s="72"/>
      <c r="M12" s="216"/>
      <c r="N12" s="216"/>
      <c r="O12" s="216"/>
      <c r="P12" s="216"/>
      <c r="Q12" s="216"/>
      <c r="R12" s="216"/>
      <c r="S12" s="216"/>
    </row>
    <row r="13" spans="1:19" s="26" customFormat="1" ht="14.25" customHeight="1">
      <c r="A13" s="230">
        <v>8</v>
      </c>
      <c r="B13" s="218" t="s">
        <v>13</v>
      </c>
      <c r="C13" s="218" t="s">
        <v>39</v>
      </c>
      <c r="D13" s="218" t="s">
        <v>40</v>
      </c>
      <c r="E13" s="218" t="s">
        <v>41</v>
      </c>
      <c r="F13" s="215">
        <f t="shared" si="1"/>
        <v>11845.039018952064</v>
      </c>
      <c r="G13" s="215">
        <f t="shared" si="1"/>
        <v>4180.6020066889632</v>
      </c>
      <c r="H13" s="215">
        <v>127500</v>
      </c>
      <c r="I13" s="215">
        <v>45000</v>
      </c>
      <c r="J13" s="45"/>
      <c r="K13" s="226" t="s">
        <v>38</v>
      </c>
      <c r="L13" s="72"/>
      <c r="M13" s="216"/>
      <c r="N13" s="216"/>
      <c r="O13" s="216"/>
      <c r="P13" s="216"/>
      <c r="Q13" s="216"/>
      <c r="R13" s="216"/>
      <c r="S13" s="216"/>
    </row>
    <row r="14" spans="1:19" s="216" customFormat="1" ht="14.25" customHeight="1">
      <c r="A14" s="230">
        <v>9</v>
      </c>
      <c r="B14" s="218" t="s">
        <v>13</v>
      </c>
      <c r="C14" s="218" t="s">
        <v>98</v>
      </c>
      <c r="D14" s="218" t="s">
        <v>34</v>
      </c>
      <c r="E14" s="218" t="s">
        <v>41</v>
      </c>
      <c r="F14" s="215">
        <f t="shared" si="1"/>
        <v>12251.858045336307</v>
      </c>
      <c r="G14" s="215">
        <f>I14/10.764</f>
        <v>12251.858045336307</v>
      </c>
      <c r="H14" s="215">
        <v>131879</v>
      </c>
      <c r="I14" s="215">
        <v>131879</v>
      </c>
      <c r="J14" s="45"/>
      <c r="K14" s="226" t="s">
        <v>17</v>
      </c>
      <c r="L14" s="72"/>
    </row>
    <row r="15" spans="1:19" s="26" customFormat="1" ht="14.25">
      <c r="A15" s="230">
        <v>10</v>
      </c>
      <c r="B15" s="218" t="s">
        <v>13</v>
      </c>
      <c r="C15" s="213" t="s">
        <v>42</v>
      </c>
      <c r="D15" s="213" t="s">
        <v>43</v>
      </c>
      <c r="E15" s="213" t="s">
        <v>44</v>
      </c>
      <c r="F15" s="215">
        <f t="shared" si="1"/>
        <v>38225.009290226684</v>
      </c>
      <c r="G15" s="71">
        <f t="shared" si="1"/>
        <v>24477.610553697512</v>
      </c>
      <c r="H15" s="215">
        <v>411454</v>
      </c>
      <c r="I15" s="233">
        <v>263477</v>
      </c>
      <c r="J15" s="215"/>
      <c r="K15" s="226" t="s">
        <v>17</v>
      </c>
      <c r="L15" s="73"/>
      <c r="M15" s="227"/>
      <c r="N15" s="227"/>
      <c r="O15" s="227"/>
      <c r="P15" s="216"/>
      <c r="Q15" s="216"/>
      <c r="R15" s="216"/>
      <c r="S15" s="216"/>
    </row>
    <row r="16" spans="1:19" s="194" customFormat="1" ht="14.25">
      <c r="A16" s="230">
        <v>11</v>
      </c>
      <c r="B16" s="231" t="s">
        <v>13</v>
      </c>
      <c r="C16" s="232" t="s">
        <v>45</v>
      </c>
      <c r="D16" s="232" t="s">
        <v>46</v>
      </c>
      <c r="E16" s="232" t="s">
        <v>47</v>
      </c>
      <c r="F16" s="233">
        <f t="shared" si="1"/>
        <v>19775.826830174658</v>
      </c>
      <c r="G16" s="184">
        <f t="shared" si="1"/>
        <v>11000</v>
      </c>
      <c r="H16" s="233">
        <v>212867</v>
      </c>
      <c r="I16" s="233">
        <v>118404</v>
      </c>
      <c r="J16" s="233"/>
      <c r="K16" s="172" t="s">
        <v>17</v>
      </c>
      <c r="L16" s="73"/>
      <c r="M16" s="216"/>
      <c r="N16" s="216"/>
      <c r="O16" s="227"/>
      <c r="P16" s="216"/>
      <c r="Q16" s="216"/>
      <c r="R16" s="216"/>
      <c r="S16" s="216"/>
    </row>
    <row r="17" spans="1:19" s="26" customFormat="1" ht="14.1" customHeight="1">
      <c r="A17" s="230">
        <v>12</v>
      </c>
      <c r="B17" s="218" t="s">
        <v>13</v>
      </c>
      <c r="C17" s="231" t="s">
        <v>50</v>
      </c>
      <c r="D17" s="231" t="s">
        <v>51</v>
      </c>
      <c r="E17" s="231" t="s">
        <v>49</v>
      </c>
      <c r="F17" s="233">
        <f>H17/10.764</f>
        <v>18727.982162764773</v>
      </c>
      <c r="G17" s="233">
        <f t="shared" si="1"/>
        <v>18727.982162764773</v>
      </c>
      <c r="H17" s="184">
        <v>201588</v>
      </c>
      <c r="I17" s="184">
        <v>201588</v>
      </c>
      <c r="J17" s="45"/>
      <c r="K17" s="226" t="s">
        <v>38</v>
      </c>
      <c r="L17" s="198"/>
      <c r="M17" s="216"/>
      <c r="N17" s="216"/>
      <c r="O17" s="216"/>
      <c r="P17" s="216"/>
      <c r="Q17" s="216"/>
      <c r="R17" s="216"/>
      <c r="S17" s="216"/>
    </row>
    <row r="18" spans="1:19" s="26" customFormat="1" ht="14.1" customHeight="1">
      <c r="A18" s="230">
        <v>13</v>
      </c>
      <c r="B18" s="218" t="s">
        <v>13</v>
      </c>
      <c r="C18" s="231" t="s">
        <v>52</v>
      </c>
      <c r="D18" s="231" t="s">
        <v>51</v>
      </c>
      <c r="E18" s="231" t="s">
        <v>49</v>
      </c>
      <c r="F18" s="233">
        <f t="shared" ref="F18:G38" si="2">H18/10.764</f>
        <v>7045.8937198067633</v>
      </c>
      <c r="G18" s="233">
        <f t="shared" si="1"/>
        <v>7045.8937198067633</v>
      </c>
      <c r="H18" s="184">
        <v>75842</v>
      </c>
      <c r="I18" s="184">
        <v>75842</v>
      </c>
      <c r="J18" s="45"/>
      <c r="K18" s="226" t="s">
        <v>38</v>
      </c>
      <c r="L18" s="198"/>
      <c r="M18" s="216"/>
      <c r="N18" s="216"/>
      <c r="O18" s="216"/>
      <c r="P18" s="216"/>
      <c r="Q18" s="216"/>
      <c r="R18" s="216"/>
      <c r="S18" s="216"/>
    </row>
    <row r="19" spans="1:19" s="26" customFormat="1" ht="14.1" customHeight="1">
      <c r="A19" s="230">
        <v>14</v>
      </c>
      <c r="B19" s="218" t="s">
        <v>13</v>
      </c>
      <c r="C19" s="231" t="s">
        <v>53</v>
      </c>
      <c r="D19" s="231" t="s">
        <v>51</v>
      </c>
      <c r="E19" s="231" t="s">
        <v>49</v>
      </c>
      <c r="F19" s="233">
        <f t="shared" si="2"/>
        <v>11301.839464882944</v>
      </c>
      <c r="G19" s="233">
        <f t="shared" si="1"/>
        <v>11301.839464882944</v>
      </c>
      <c r="H19" s="184">
        <v>121653</v>
      </c>
      <c r="I19" s="184">
        <v>121653</v>
      </c>
      <c r="J19" s="45"/>
      <c r="K19" s="226" t="s">
        <v>38</v>
      </c>
      <c r="L19" s="198"/>
      <c r="M19" s="216"/>
      <c r="N19" s="216"/>
      <c r="O19" s="216"/>
      <c r="P19" s="216"/>
      <c r="Q19" s="216"/>
      <c r="R19" s="216"/>
      <c r="S19" s="216"/>
    </row>
    <row r="20" spans="1:19" s="26" customFormat="1" ht="14.1" customHeight="1">
      <c r="A20" s="230">
        <v>15</v>
      </c>
      <c r="B20" s="218" t="s">
        <v>13</v>
      </c>
      <c r="C20" s="231" t="s">
        <v>54</v>
      </c>
      <c r="D20" s="231" t="s">
        <v>51</v>
      </c>
      <c r="E20" s="231" t="s">
        <v>49</v>
      </c>
      <c r="F20" s="233">
        <f t="shared" si="2"/>
        <v>8447.4173169825353</v>
      </c>
      <c r="G20" s="233">
        <f t="shared" si="1"/>
        <v>8447.4173169825353</v>
      </c>
      <c r="H20" s="184">
        <v>90928</v>
      </c>
      <c r="I20" s="184">
        <v>90928</v>
      </c>
      <c r="J20" s="45"/>
      <c r="K20" s="226" t="s">
        <v>38</v>
      </c>
      <c r="L20" s="198"/>
      <c r="M20" s="216"/>
      <c r="N20" s="216"/>
      <c r="O20" s="216"/>
      <c r="P20" s="216"/>
      <c r="Q20" s="216"/>
      <c r="R20" s="216"/>
      <c r="S20" s="216"/>
    </row>
    <row r="21" spans="1:19" s="26" customFormat="1" ht="14.1" customHeight="1">
      <c r="A21" s="230">
        <v>16</v>
      </c>
      <c r="B21" s="218" t="s">
        <v>13</v>
      </c>
      <c r="C21" s="231" t="s">
        <v>55</v>
      </c>
      <c r="D21" s="231" t="s">
        <v>51</v>
      </c>
      <c r="E21" s="231" t="s">
        <v>49</v>
      </c>
      <c r="F21" s="233">
        <f t="shared" si="2"/>
        <v>8447.4173169825353</v>
      </c>
      <c r="G21" s="233">
        <f t="shared" si="1"/>
        <v>8447.4173169825353</v>
      </c>
      <c r="H21" s="184">
        <v>90928</v>
      </c>
      <c r="I21" s="184">
        <v>90928</v>
      </c>
      <c r="J21" s="45"/>
      <c r="K21" s="226" t="s">
        <v>38</v>
      </c>
      <c r="L21" s="198"/>
      <c r="M21" s="216"/>
      <c r="N21" s="216"/>
      <c r="O21" s="216"/>
      <c r="P21" s="216"/>
      <c r="Q21" s="216"/>
      <c r="R21" s="216"/>
      <c r="S21" s="216"/>
    </row>
    <row r="22" spans="1:19" s="26" customFormat="1" ht="14.1" customHeight="1">
      <c r="A22" s="230">
        <v>17</v>
      </c>
      <c r="B22" s="218" t="s">
        <v>13</v>
      </c>
      <c r="C22" s="231" t="s">
        <v>472</v>
      </c>
      <c r="D22" s="231" t="s">
        <v>56</v>
      </c>
      <c r="E22" s="231" t="s">
        <v>49</v>
      </c>
      <c r="F22" s="233">
        <f t="shared" si="2"/>
        <v>12223.987365291714</v>
      </c>
      <c r="G22" s="233">
        <f t="shared" si="1"/>
        <v>4307.971014492754</v>
      </c>
      <c r="H22" s="184">
        <v>131579</v>
      </c>
      <c r="I22" s="184">
        <v>46371</v>
      </c>
      <c r="J22" s="45"/>
      <c r="K22" s="226" t="s">
        <v>17</v>
      </c>
      <c r="L22" s="198"/>
      <c r="M22" s="216"/>
      <c r="N22" s="216"/>
      <c r="O22" s="216"/>
      <c r="P22" s="216"/>
      <c r="Q22" s="216"/>
      <c r="R22" s="216"/>
      <c r="S22" s="216"/>
    </row>
    <row r="23" spans="1:19" s="26" customFormat="1" ht="14.1" customHeight="1">
      <c r="A23" s="230">
        <v>18</v>
      </c>
      <c r="B23" s="218" t="s">
        <v>13</v>
      </c>
      <c r="C23" s="231" t="s">
        <v>57</v>
      </c>
      <c r="D23" s="231" t="s">
        <v>58</v>
      </c>
      <c r="E23" s="231" t="s">
        <v>49</v>
      </c>
      <c r="F23" s="233">
        <f t="shared" si="2"/>
        <v>13846.989966555186</v>
      </c>
      <c r="G23" s="233">
        <f t="shared" si="2"/>
        <v>4281.9583797844671</v>
      </c>
      <c r="H23" s="184">
        <v>149049</v>
      </c>
      <c r="I23" s="184">
        <v>46091</v>
      </c>
      <c r="J23" s="45"/>
      <c r="K23" s="226" t="s">
        <v>38</v>
      </c>
      <c r="L23" s="198"/>
      <c r="M23" s="252"/>
      <c r="N23" s="216"/>
      <c r="O23" s="216"/>
      <c r="P23" s="216"/>
      <c r="Q23" s="216"/>
      <c r="R23" s="216"/>
      <c r="S23" s="216"/>
    </row>
    <row r="24" spans="1:19" s="216" customFormat="1" ht="14.1" customHeight="1">
      <c r="A24" s="230">
        <v>19</v>
      </c>
      <c r="B24" s="218" t="s">
        <v>13</v>
      </c>
      <c r="C24" s="231" t="s">
        <v>530</v>
      </c>
      <c r="D24" s="231" t="s">
        <v>531</v>
      </c>
      <c r="E24" s="231" t="s">
        <v>146</v>
      </c>
      <c r="F24" s="233">
        <f t="shared" si="2"/>
        <v>9010.3121516164992</v>
      </c>
      <c r="G24" s="233">
        <f t="shared" si="2"/>
        <v>9010.3121516164992</v>
      </c>
      <c r="H24" s="184">
        <v>96987</v>
      </c>
      <c r="I24" s="184">
        <v>96987</v>
      </c>
      <c r="J24" s="45"/>
      <c r="K24" s="226" t="s">
        <v>38</v>
      </c>
      <c r="L24" s="198"/>
      <c r="M24" s="252"/>
    </row>
    <row r="25" spans="1:19" s="26" customFormat="1" ht="14.1" customHeight="1">
      <c r="A25" s="230">
        <v>20</v>
      </c>
      <c r="B25" s="218" t="s">
        <v>13</v>
      </c>
      <c r="C25" s="218" t="s">
        <v>59</v>
      </c>
      <c r="D25" s="195" t="s">
        <v>60</v>
      </c>
      <c r="E25" s="195" t="s">
        <v>61</v>
      </c>
      <c r="F25" s="215">
        <f t="shared" si="2"/>
        <v>1951.9695280564847</v>
      </c>
      <c r="G25" s="215">
        <f t="shared" si="2"/>
        <v>1951.9695280564847</v>
      </c>
      <c r="H25" s="196">
        <v>21011</v>
      </c>
      <c r="I25" s="196">
        <v>21011</v>
      </c>
      <c r="J25" s="197"/>
      <c r="K25" s="226" t="s">
        <v>38</v>
      </c>
      <c r="L25" s="198"/>
      <c r="M25" s="216"/>
      <c r="N25" s="216"/>
      <c r="O25" s="216"/>
      <c r="P25" s="216"/>
      <c r="Q25" s="216"/>
      <c r="R25" s="216"/>
      <c r="S25" s="216"/>
    </row>
    <row r="26" spans="1:19" s="26" customFormat="1" ht="14.1" customHeight="1">
      <c r="A26" s="230">
        <v>21</v>
      </c>
      <c r="B26" s="218" t="s">
        <v>13</v>
      </c>
      <c r="C26" s="218" t="s">
        <v>62</v>
      </c>
      <c r="D26" s="195" t="s">
        <v>60</v>
      </c>
      <c r="E26" s="195" t="s">
        <v>61</v>
      </c>
      <c r="F26" s="215">
        <f t="shared" si="2"/>
        <v>2028.985507246377</v>
      </c>
      <c r="G26" s="215">
        <f t="shared" si="2"/>
        <v>2028.985507246377</v>
      </c>
      <c r="H26" s="196">
        <v>21840</v>
      </c>
      <c r="I26" s="196">
        <v>21840</v>
      </c>
      <c r="J26" s="197"/>
      <c r="K26" s="226" t="s">
        <v>38</v>
      </c>
      <c r="L26" s="198"/>
      <c r="M26" s="216"/>
      <c r="N26" s="216"/>
      <c r="O26" s="216"/>
      <c r="P26" s="216"/>
      <c r="Q26" s="216"/>
      <c r="R26" s="216"/>
      <c r="S26" s="216"/>
    </row>
    <row r="27" spans="1:19" s="194" customFormat="1" ht="14.1" customHeight="1">
      <c r="A27" s="230">
        <v>22</v>
      </c>
      <c r="B27" s="218" t="s">
        <v>13</v>
      </c>
      <c r="C27" s="218" t="s">
        <v>63</v>
      </c>
      <c r="D27" s="195" t="s">
        <v>64</v>
      </c>
      <c r="E27" s="195" t="s">
        <v>65</v>
      </c>
      <c r="F27" s="215">
        <f t="shared" si="2"/>
        <v>9985.9717577108895</v>
      </c>
      <c r="G27" s="215">
        <f t="shared" si="2"/>
        <v>9985.9717577108895</v>
      </c>
      <c r="H27" s="196">
        <v>107489</v>
      </c>
      <c r="I27" s="196">
        <v>107489</v>
      </c>
      <c r="J27" s="197"/>
      <c r="K27" s="226" t="s">
        <v>38</v>
      </c>
      <c r="L27" s="198"/>
      <c r="M27" s="216"/>
      <c r="N27" s="216"/>
      <c r="O27" s="216"/>
      <c r="P27" s="216"/>
      <c r="Q27" s="216"/>
      <c r="R27" s="216"/>
      <c r="S27" s="216"/>
    </row>
    <row r="28" spans="1:19" s="194" customFormat="1" ht="14.1" customHeight="1">
      <c r="A28" s="230">
        <v>23</v>
      </c>
      <c r="B28" s="218" t="s">
        <v>13</v>
      </c>
      <c r="C28" s="218" t="s">
        <v>66</v>
      </c>
      <c r="D28" s="195" t="s">
        <v>64</v>
      </c>
      <c r="E28" s="195" t="s">
        <v>65</v>
      </c>
      <c r="F28" s="215">
        <f t="shared" si="2"/>
        <v>2878.0193236714977</v>
      </c>
      <c r="G28" s="215">
        <f t="shared" si="2"/>
        <v>2878.0193236714977</v>
      </c>
      <c r="H28" s="196">
        <v>30979</v>
      </c>
      <c r="I28" s="196">
        <v>30979</v>
      </c>
      <c r="J28" s="197"/>
      <c r="K28" s="226" t="s">
        <v>38</v>
      </c>
      <c r="L28" s="198"/>
      <c r="M28" s="216"/>
      <c r="N28" s="216"/>
      <c r="O28" s="216"/>
      <c r="P28" s="216"/>
      <c r="Q28" s="216"/>
      <c r="R28" s="216"/>
      <c r="S28" s="216"/>
    </row>
    <row r="29" spans="1:19" s="194" customFormat="1" ht="14.1" customHeight="1">
      <c r="A29" s="230">
        <v>24</v>
      </c>
      <c r="B29" s="218" t="s">
        <v>13</v>
      </c>
      <c r="C29" s="218" t="s">
        <v>67</v>
      </c>
      <c r="D29" s="195" t="s">
        <v>64</v>
      </c>
      <c r="E29" s="195" t="s">
        <v>65</v>
      </c>
      <c r="F29" s="215">
        <f t="shared" si="2"/>
        <v>1438.9632107023413</v>
      </c>
      <c r="G29" s="215">
        <f t="shared" si="2"/>
        <v>1438.9632107023413</v>
      </c>
      <c r="H29" s="196">
        <v>15489</v>
      </c>
      <c r="I29" s="196">
        <v>15489</v>
      </c>
      <c r="J29" s="197"/>
      <c r="K29" s="226" t="s">
        <v>38</v>
      </c>
      <c r="L29" s="198"/>
      <c r="M29" s="216"/>
      <c r="N29" s="216"/>
      <c r="O29" s="216"/>
      <c r="P29" s="216"/>
      <c r="Q29" s="216"/>
      <c r="R29" s="216"/>
      <c r="S29" s="216"/>
    </row>
    <row r="30" spans="1:19" s="26" customFormat="1" ht="14.1" customHeight="1">
      <c r="A30" s="230">
        <v>25</v>
      </c>
      <c r="B30" s="218" t="s">
        <v>13</v>
      </c>
      <c r="C30" s="231" t="s">
        <v>69</v>
      </c>
      <c r="D30" s="231" t="s">
        <v>70</v>
      </c>
      <c r="E30" s="231" t="s">
        <v>71</v>
      </c>
      <c r="F30" s="233">
        <f t="shared" si="2"/>
        <v>11256.874767744333</v>
      </c>
      <c r="G30" s="233">
        <f t="shared" si="2"/>
        <v>1530.9364548494984</v>
      </c>
      <c r="H30" s="184">
        <v>121169</v>
      </c>
      <c r="I30" s="184">
        <v>16479</v>
      </c>
      <c r="J30" s="45"/>
      <c r="K30" s="226" t="s">
        <v>38</v>
      </c>
      <c r="L30" s="198"/>
      <c r="M30" s="216"/>
      <c r="N30" s="216"/>
      <c r="O30" s="216"/>
      <c r="P30" s="216"/>
      <c r="Q30" s="216"/>
      <c r="R30" s="216"/>
      <c r="S30" s="216"/>
    </row>
    <row r="31" spans="1:19" s="26" customFormat="1" ht="14.1" customHeight="1">
      <c r="A31" s="230">
        <v>26</v>
      </c>
      <c r="B31" s="218" t="s">
        <v>13</v>
      </c>
      <c r="C31" s="231" t="s">
        <v>72</v>
      </c>
      <c r="D31" s="231" t="s">
        <v>73</v>
      </c>
      <c r="E31" s="231" t="s">
        <v>71</v>
      </c>
      <c r="F31" s="233">
        <f t="shared" si="2"/>
        <v>17589.836492010407</v>
      </c>
      <c r="G31" s="233">
        <f t="shared" si="2"/>
        <v>6320.9773318468979</v>
      </c>
      <c r="H31" s="184">
        <v>189337</v>
      </c>
      <c r="I31" s="184">
        <v>68039</v>
      </c>
      <c r="J31" s="45"/>
      <c r="K31" s="226" t="s">
        <v>17</v>
      </c>
      <c r="L31" s="198"/>
      <c r="M31" s="216"/>
      <c r="N31" s="216"/>
      <c r="O31" s="216"/>
      <c r="P31" s="216"/>
      <c r="Q31" s="216"/>
      <c r="R31" s="216"/>
      <c r="S31" s="216"/>
    </row>
    <row r="32" spans="1:19" s="180" customFormat="1" ht="14.1" customHeight="1">
      <c r="A32" s="230">
        <v>27</v>
      </c>
      <c r="B32" s="218" t="s">
        <v>13</v>
      </c>
      <c r="C32" s="231" t="s">
        <v>74</v>
      </c>
      <c r="D32" s="231" t="s">
        <v>73</v>
      </c>
      <c r="E32" s="231" t="s">
        <v>71</v>
      </c>
      <c r="F32" s="233">
        <f t="shared" si="2"/>
        <v>9234.4853214418436</v>
      </c>
      <c r="G32" s="233">
        <f>I32/10.764</f>
        <v>9234.4853214418436</v>
      </c>
      <c r="H32" s="184">
        <v>99400</v>
      </c>
      <c r="I32" s="184">
        <v>99400</v>
      </c>
      <c r="J32" s="45"/>
      <c r="K32" s="226" t="s">
        <v>17</v>
      </c>
      <c r="L32" s="198"/>
      <c r="M32" s="216"/>
      <c r="N32" s="216"/>
      <c r="O32" s="216"/>
      <c r="P32" s="216"/>
      <c r="Q32" s="216"/>
      <c r="R32" s="216"/>
      <c r="S32" s="216"/>
    </row>
    <row r="33" spans="1:19" s="180" customFormat="1" ht="14.25">
      <c r="A33" s="230">
        <v>28</v>
      </c>
      <c r="B33" s="218" t="s">
        <v>13</v>
      </c>
      <c r="C33" s="218" t="s">
        <v>77</v>
      </c>
      <c r="D33" s="195" t="s">
        <v>78</v>
      </c>
      <c r="E33" s="195" t="s">
        <v>79</v>
      </c>
      <c r="F33" s="215">
        <f t="shared" si="2"/>
        <v>8845.0390189520622</v>
      </c>
      <c r="G33" s="215">
        <f t="shared" si="2"/>
        <v>1356.001486436269</v>
      </c>
      <c r="H33" s="196">
        <v>95208</v>
      </c>
      <c r="I33" s="196">
        <v>14596</v>
      </c>
      <c r="J33" s="197"/>
      <c r="K33" s="226" t="s">
        <v>38</v>
      </c>
      <c r="L33" s="227"/>
      <c r="M33" s="227"/>
      <c r="N33" s="227"/>
      <c r="O33" s="216"/>
      <c r="P33" s="216"/>
      <c r="Q33" s="216"/>
      <c r="R33" s="216"/>
      <c r="S33" s="216"/>
    </row>
    <row r="34" spans="1:19" s="216" customFormat="1" ht="14.25">
      <c r="A34" s="230">
        <v>29</v>
      </c>
      <c r="B34" s="218" t="s">
        <v>13</v>
      </c>
      <c r="C34" s="218" t="s">
        <v>454</v>
      </c>
      <c r="D34" s="195" t="s">
        <v>81</v>
      </c>
      <c r="E34" s="195" t="s">
        <v>82</v>
      </c>
      <c r="F34" s="215">
        <f t="shared" si="2"/>
        <v>3994.7974730583428</v>
      </c>
      <c r="G34" s="215">
        <f t="shared" si="2"/>
        <v>3994.7974730583428</v>
      </c>
      <c r="H34" s="196">
        <v>43000</v>
      </c>
      <c r="I34" s="196">
        <v>43000</v>
      </c>
      <c r="J34" s="197"/>
      <c r="K34" s="226" t="s">
        <v>17</v>
      </c>
      <c r="L34" s="227"/>
      <c r="M34" s="227"/>
      <c r="N34" s="227"/>
    </row>
    <row r="35" spans="1:19" s="26" customFormat="1" ht="14.25">
      <c r="A35" s="230">
        <v>30</v>
      </c>
      <c r="B35" s="218" t="s">
        <v>13</v>
      </c>
      <c r="C35" s="213" t="s">
        <v>80</v>
      </c>
      <c r="D35" s="213" t="s">
        <v>81</v>
      </c>
      <c r="E35" s="232" t="s">
        <v>82</v>
      </c>
      <c r="F35" s="233">
        <f t="shared" si="2"/>
        <v>9290.2266815310304</v>
      </c>
      <c r="G35" s="233">
        <f t="shared" si="2"/>
        <v>2601.2634708286882</v>
      </c>
      <c r="H35" s="233">
        <v>100000</v>
      </c>
      <c r="I35" s="233">
        <v>28000</v>
      </c>
      <c r="J35" s="215"/>
      <c r="K35" s="226" t="s">
        <v>17</v>
      </c>
      <c r="L35" s="73"/>
      <c r="M35" s="227"/>
      <c r="N35" s="227"/>
      <c r="O35" s="227"/>
      <c r="P35" s="216"/>
      <c r="Q35" s="216"/>
      <c r="R35" s="216"/>
      <c r="S35" s="216"/>
    </row>
    <row r="36" spans="1:19" s="26" customFormat="1" ht="14.25">
      <c r="A36" s="230">
        <v>31</v>
      </c>
      <c r="B36" s="218" t="s">
        <v>13</v>
      </c>
      <c r="C36" s="213" t="s">
        <v>83</v>
      </c>
      <c r="D36" s="213" t="s">
        <v>81</v>
      </c>
      <c r="E36" s="213" t="s">
        <v>82</v>
      </c>
      <c r="F36" s="215">
        <f t="shared" si="2"/>
        <v>8859.0672612411745</v>
      </c>
      <c r="G36" s="215">
        <f t="shared" si="2"/>
        <v>3367.4284652545525</v>
      </c>
      <c r="H36" s="215">
        <v>95359</v>
      </c>
      <c r="I36" s="215">
        <v>36247</v>
      </c>
      <c r="J36" s="215"/>
      <c r="K36" s="226" t="s">
        <v>17</v>
      </c>
      <c r="L36" s="73"/>
      <c r="M36" s="227"/>
      <c r="N36" s="227"/>
      <c r="O36" s="227"/>
      <c r="P36" s="216"/>
      <c r="Q36" s="216"/>
      <c r="R36" s="216"/>
      <c r="S36" s="216"/>
    </row>
    <row r="37" spans="1:19" s="216" customFormat="1" ht="14.25">
      <c r="A37" s="230">
        <v>32</v>
      </c>
      <c r="B37" s="218" t="s">
        <v>13</v>
      </c>
      <c r="C37" s="213" t="s">
        <v>455</v>
      </c>
      <c r="D37" s="213" t="s">
        <v>81</v>
      </c>
      <c r="E37" s="213" t="s">
        <v>82</v>
      </c>
      <c r="F37" s="215">
        <f t="shared" si="2"/>
        <v>3230.0260126347084</v>
      </c>
      <c r="G37" s="215">
        <f t="shared" si="2"/>
        <v>3230.0260126347084</v>
      </c>
      <c r="H37" s="215">
        <v>34768</v>
      </c>
      <c r="I37" s="215">
        <v>34768</v>
      </c>
      <c r="J37" s="215"/>
      <c r="K37" s="226" t="s">
        <v>17</v>
      </c>
      <c r="L37" s="73"/>
      <c r="M37" s="227"/>
      <c r="N37" s="227"/>
      <c r="O37" s="227"/>
    </row>
    <row r="38" spans="1:19" s="216" customFormat="1" ht="14.25">
      <c r="A38" s="230">
        <v>33</v>
      </c>
      <c r="B38" s="218" t="s">
        <v>13</v>
      </c>
      <c r="C38" s="213" t="s">
        <v>152</v>
      </c>
      <c r="D38" s="213" t="s">
        <v>496</v>
      </c>
      <c r="E38" s="213" t="s">
        <v>104</v>
      </c>
      <c r="F38" s="215">
        <f t="shared" si="2"/>
        <v>5944.8160535117058</v>
      </c>
      <c r="G38" s="215">
        <f t="shared" si="2"/>
        <v>5944.8160535117058</v>
      </c>
      <c r="H38" s="215">
        <v>63990</v>
      </c>
      <c r="I38" s="215">
        <v>63990</v>
      </c>
      <c r="J38" s="215"/>
      <c r="K38" s="226" t="s">
        <v>17</v>
      </c>
      <c r="L38" s="73"/>
      <c r="M38" s="227"/>
      <c r="N38" s="227"/>
      <c r="O38" s="227"/>
    </row>
    <row r="39" spans="1:19" s="26" customFormat="1" ht="14.25">
      <c r="A39" s="217"/>
      <c r="B39" s="267" t="s">
        <v>84</v>
      </c>
      <c r="C39" s="268"/>
      <c r="D39" s="268"/>
      <c r="E39" s="268"/>
      <c r="F39" s="268"/>
      <c r="G39" s="268"/>
      <c r="H39" s="269"/>
      <c r="I39" s="74">
        <f>SUM(I6:I38)</f>
        <v>2625254</v>
      </c>
      <c r="J39" s="74"/>
      <c r="K39" s="226"/>
      <c r="L39" s="227"/>
      <c r="M39" s="227"/>
      <c r="N39" s="227"/>
      <c r="O39" s="227"/>
      <c r="P39" s="227"/>
      <c r="Q39" s="227"/>
      <c r="R39" s="227"/>
      <c r="S39" s="227"/>
    </row>
    <row r="40" spans="1:19" s="57" customFormat="1">
      <c r="A40" s="174"/>
      <c r="B40" s="270" t="s">
        <v>85</v>
      </c>
      <c r="C40" s="271"/>
      <c r="D40" s="271"/>
      <c r="E40" s="271"/>
      <c r="F40" s="271"/>
      <c r="G40" s="271"/>
      <c r="H40" s="271"/>
      <c r="I40" s="271"/>
      <c r="J40" s="236"/>
      <c r="K40" s="238"/>
      <c r="L40" s="75"/>
      <c r="M40" s="56"/>
      <c r="N40" s="56"/>
      <c r="O40" s="56"/>
      <c r="P40" s="56"/>
      <c r="Q40" s="56"/>
      <c r="R40" s="56"/>
      <c r="S40" s="56"/>
    </row>
    <row r="41" spans="1:19" s="26" customFormat="1" ht="14.25">
      <c r="A41" s="217">
        <v>1</v>
      </c>
      <c r="B41" s="218" t="s">
        <v>86</v>
      </c>
      <c r="C41" s="218" t="s">
        <v>87</v>
      </c>
      <c r="D41" s="218" t="s">
        <v>88</v>
      </c>
      <c r="E41" s="218" t="s">
        <v>35</v>
      </c>
      <c r="F41" s="215">
        <f>H41/10.764</f>
        <v>11489.873652917131</v>
      </c>
      <c r="G41" s="215">
        <f>I41/10.764</f>
        <v>4964.2326272761056</v>
      </c>
      <c r="H41" s="215">
        <v>123677</v>
      </c>
      <c r="I41" s="215">
        <v>53435</v>
      </c>
      <c r="J41" s="229"/>
      <c r="K41" s="226" t="s">
        <v>17</v>
      </c>
      <c r="L41" s="228"/>
      <c r="M41" s="227"/>
      <c r="N41" s="227"/>
      <c r="O41" s="227"/>
      <c r="P41" s="227"/>
      <c r="Q41" s="227"/>
      <c r="R41" s="227"/>
      <c r="S41" s="227"/>
    </row>
    <row r="42" spans="1:19" s="216" customFormat="1" ht="14.25">
      <c r="A42" s="217">
        <v>2</v>
      </c>
      <c r="B42" s="218" t="s">
        <v>86</v>
      </c>
      <c r="C42" s="218" t="s">
        <v>89</v>
      </c>
      <c r="D42" s="218" t="s">
        <v>88</v>
      </c>
      <c r="E42" s="218" t="s">
        <v>35</v>
      </c>
      <c r="F42" s="215">
        <f>H42/10.764</f>
        <v>20306.29877369008</v>
      </c>
      <c r="G42" s="215">
        <f>I42/10.764</f>
        <v>20306.29877369008</v>
      </c>
      <c r="H42" s="215">
        <v>218577</v>
      </c>
      <c r="I42" s="215">
        <v>218577</v>
      </c>
      <c r="J42" s="229"/>
      <c r="K42" s="226" t="s">
        <v>17</v>
      </c>
      <c r="L42" s="228"/>
      <c r="M42" s="227"/>
      <c r="N42" s="227"/>
      <c r="O42" s="227"/>
      <c r="P42" s="227"/>
      <c r="Q42" s="227"/>
      <c r="R42" s="227"/>
      <c r="S42" s="227"/>
    </row>
    <row r="43" spans="1:19" s="194" customFormat="1" ht="14.25">
      <c r="A43" s="217">
        <v>3</v>
      </c>
      <c r="B43" s="231" t="s">
        <v>86</v>
      </c>
      <c r="C43" s="231" t="s">
        <v>93</v>
      </c>
      <c r="D43" s="231" t="s">
        <v>91</v>
      </c>
      <c r="E43" s="231" t="s">
        <v>47</v>
      </c>
      <c r="F43" s="233">
        <f t="shared" ref="F43:G50" si="3">H43/10.764</f>
        <v>12548.959494611669</v>
      </c>
      <c r="G43" s="233">
        <f t="shared" si="3"/>
        <v>6000</v>
      </c>
      <c r="H43" s="233">
        <v>135077</v>
      </c>
      <c r="I43" s="233">
        <v>64584</v>
      </c>
      <c r="J43" s="233" t="s">
        <v>94</v>
      </c>
      <c r="K43" s="172" t="s">
        <v>17</v>
      </c>
      <c r="L43" s="228"/>
      <c r="M43" s="227"/>
      <c r="N43" s="227"/>
      <c r="O43" s="227"/>
      <c r="P43" s="227"/>
      <c r="Q43" s="227"/>
      <c r="R43" s="227"/>
      <c r="S43" s="227"/>
    </row>
    <row r="44" spans="1:19" s="216" customFormat="1" ht="14.25">
      <c r="A44" s="217">
        <v>4</v>
      </c>
      <c r="B44" s="231" t="s">
        <v>86</v>
      </c>
      <c r="C44" s="231" t="s">
        <v>532</v>
      </c>
      <c r="D44" s="231" t="s">
        <v>534</v>
      </c>
      <c r="E44" s="231" t="s">
        <v>146</v>
      </c>
      <c r="F44" s="233">
        <f t="shared" si="3"/>
        <v>10824.043106651803</v>
      </c>
      <c r="G44" s="233">
        <f t="shared" si="3"/>
        <v>10824.043106651803</v>
      </c>
      <c r="H44" s="233">
        <v>116510</v>
      </c>
      <c r="I44" s="233">
        <v>116510</v>
      </c>
      <c r="J44" s="233"/>
      <c r="K44" s="172" t="s">
        <v>38</v>
      </c>
      <c r="L44" s="228"/>
      <c r="M44" s="227"/>
      <c r="N44" s="227"/>
      <c r="O44" s="227"/>
      <c r="P44" s="227"/>
      <c r="Q44" s="227"/>
      <c r="R44" s="227"/>
      <c r="S44" s="227"/>
    </row>
    <row r="45" spans="1:19" s="216" customFormat="1" ht="14.25">
      <c r="A45" s="217">
        <v>5</v>
      </c>
      <c r="B45" s="231" t="s">
        <v>86</v>
      </c>
      <c r="C45" s="231" t="s">
        <v>533</v>
      </c>
      <c r="D45" s="231" t="s">
        <v>534</v>
      </c>
      <c r="E45" s="231" t="s">
        <v>146</v>
      </c>
      <c r="F45" s="233">
        <f>H45/10.764</f>
        <v>10824.043106651803</v>
      </c>
      <c r="G45" s="233">
        <f t="shared" si="3"/>
        <v>10824.043106651803</v>
      </c>
      <c r="H45" s="233">
        <v>116510</v>
      </c>
      <c r="I45" s="233">
        <v>116510</v>
      </c>
      <c r="J45" s="233"/>
      <c r="K45" s="172" t="s">
        <v>38</v>
      </c>
      <c r="L45" s="228"/>
      <c r="M45" s="227"/>
      <c r="N45" s="227"/>
      <c r="O45" s="227"/>
      <c r="P45" s="227"/>
      <c r="Q45" s="227"/>
      <c r="R45" s="227"/>
      <c r="S45" s="227"/>
    </row>
    <row r="46" spans="1:19" s="26" customFormat="1" ht="14.25">
      <c r="A46" s="217">
        <v>6</v>
      </c>
      <c r="B46" s="218" t="s">
        <v>86</v>
      </c>
      <c r="C46" s="218" t="s">
        <v>95</v>
      </c>
      <c r="D46" s="218" t="s">
        <v>96</v>
      </c>
      <c r="E46" s="218" t="s">
        <v>97</v>
      </c>
      <c r="F46" s="215">
        <f t="shared" si="3"/>
        <v>9570.9773318468979</v>
      </c>
      <c r="G46" s="215">
        <f t="shared" si="3"/>
        <v>9570.9773318468979</v>
      </c>
      <c r="H46" s="215">
        <v>103022</v>
      </c>
      <c r="I46" s="215">
        <v>103022</v>
      </c>
      <c r="J46" s="215"/>
      <c r="K46" s="226" t="s">
        <v>17</v>
      </c>
      <c r="L46" s="228"/>
      <c r="M46" s="227"/>
      <c r="N46" s="227"/>
      <c r="O46" s="227"/>
      <c r="P46" s="227"/>
      <c r="Q46" s="227"/>
      <c r="R46" s="227"/>
      <c r="S46" s="227"/>
    </row>
    <row r="47" spans="1:19" s="26" customFormat="1" ht="14.25">
      <c r="A47" s="217">
        <v>7</v>
      </c>
      <c r="B47" s="218" t="s">
        <v>86</v>
      </c>
      <c r="C47" s="218" t="s">
        <v>98</v>
      </c>
      <c r="D47" s="218" t="s">
        <v>99</v>
      </c>
      <c r="E47" s="218" t="s">
        <v>100</v>
      </c>
      <c r="F47" s="215">
        <f t="shared" si="3"/>
        <v>2574.0431066518026</v>
      </c>
      <c r="G47" s="215">
        <f t="shared" si="3"/>
        <v>2574.0431066518026</v>
      </c>
      <c r="H47" s="215">
        <v>27707</v>
      </c>
      <c r="I47" s="215">
        <v>27707</v>
      </c>
      <c r="J47" s="229"/>
      <c r="K47" s="226" t="s">
        <v>38</v>
      </c>
      <c r="L47" s="228"/>
      <c r="M47" s="227"/>
      <c r="N47" s="227"/>
      <c r="O47" s="227"/>
      <c r="P47" s="227"/>
      <c r="Q47" s="227"/>
      <c r="R47" s="227"/>
      <c r="S47" s="227"/>
    </row>
    <row r="48" spans="1:19" s="26" customFormat="1" ht="14.25">
      <c r="A48" s="217">
        <v>8</v>
      </c>
      <c r="B48" s="218" t="s">
        <v>86</v>
      </c>
      <c r="C48" s="218" t="s">
        <v>22</v>
      </c>
      <c r="D48" s="218" t="s">
        <v>99</v>
      </c>
      <c r="E48" s="218" t="s">
        <v>100</v>
      </c>
      <c r="F48" s="215">
        <f t="shared" si="3"/>
        <v>2979.00408769974</v>
      </c>
      <c r="G48" s="215">
        <f t="shared" si="3"/>
        <v>2979.00408769974</v>
      </c>
      <c r="H48" s="215">
        <v>32066</v>
      </c>
      <c r="I48" s="215">
        <v>32066</v>
      </c>
      <c r="J48" s="229"/>
      <c r="K48" s="226" t="s">
        <v>38</v>
      </c>
      <c r="L48" s="228"/>
      <c r="M48" s="227"/>
      <c r="N48" s="227"/>
      <c r="O48" s="227"/>
      <c r="P48" s="227"/>
      <c r="Q48" s="227"/>
      <c r="R48" s="227"/>
      <c r="S48" s="227"/>
    </row>
    <row r="49" spans="1:19" s="26" customFormat="1" ht="14.25">
      <c r="A49" s="217">
        <v>9</v>
      </c>
      <c r="B49" s="218" t="s">
        <v>86</v>
      </c>
      <c r="C49" s="218" t="s">
        <v>101</v>
      </c>
      <c r="D49" s="218" t="s">
        <v>99</v>
      </c>
      <c r="E49" s="218" t="s">
        <v>100</v>
      </c>
      <c r="F49" s="215">
        <f t="shared" si="3"/>
        <v>2513.0063173541434</v>
      </c>
      <c r="G49" s="215">
        <f>I49/10.764</f>
        <v>2513.0063173541434</v>
      </c>
      <c r="H49" s="215">
        <v>27050</v>
      </c>
      <c r="I49" s="215">
        <v>27050</v>
      </c>
      <c r="J49" s="229"/>
      <c r="K49" s="226" t="s">
        <v>38</v>
      </c>
      <c r="L49" s="228"/>
      <c r="M49" s="227"/>
      <c r="N49" s="227"/>
      <c r="O49" s="227"/>
      <c r="P49" s="227"/>
      <c r="Q49" s="227"/>
      <c r="R49" s="227"/>
      <c r="S49" s="227"/>
    </row>
    <row r="50" spans="1:19" s="26" customFormat="1" ht="14.25">
      <c r="A50" s="217">
        <v>10</v>
      </c>
      <c r="B50" s="218" t="s">
        <v>86</v>
      </c>
      <c r="C50" s="218" t="s">
        <v>102</v>
      </c>
      <c r="D50" s="218" t="s">
        <v>103</v>
      </c>
      <c r="E50" s="218" t="s">
        <v>104</v>
      </c>
      <c r="F50" s="215">
        <f t="shared" si="3"/>
        <v>5562.8948346339657</v>
      </c>
      <c r="G50" s="215">
        <f>I50/10.764</f>
        <v>5562.8948346339657</v>
      </c>
      <c r="H50" s="215">
        <v>59879</v>
      </c>
      <c r="I50" s="215">
        <v>59879</v>
      </c>
      <c r="J50" s="229"/>
      <c r="K50" s="226" t="s">
        <v>17</v>
      </c>
      <c r="L50" s="228"/>
      <c r="M50" s="227"/>
      <c r="N50" s="227"/>
      <c r="O50" s="227"/>
      <c r="P50" s="227"/>
      <c r="Q50" s="227"/>
      <c r="R50" s="227"/>
      <c r="S50" s="227"/>
    </row>
    <row r="51" spans="1:19" s="26" customFormat="1" ht="14.25">
      <c r="A51" s="217"/>
      <c r="B51" s="267" t="s">
        <v>84</v>
      </c>
      <c r="C51" s="268"/>
      <c r="D51" s="268"/>
      <c r="E51" s="268"/>
      <c r="F51" s="268"/>
      <c r="G51" s="268"/>
      <c r="H51" s="269"/>
      <c r="I51" s="74">
        <f>SUM(I41:I50)</f>
        <v>819340</v>
      </c>
      <c r="J51" s="74"/>
      <c r="K51" s="217"/>
      <c r="L51" s="227"/>
      <c r="M51" s="227"/>
      <c r="N51" s="227"/>
      <c r="O51" s="216"/>
      <c r="P51" s="216"/>
      <c r="Q51" s="216"/>
      <c r="R51" s="216"/>
      <c r="S51" s="216"/>
    </row>
    <row r="52" spans="1:19" s="57" customFormat="1">
      <c r="A52" s="174"/>
      <c r="B52" s="270" t="s">
        <v>105</v>
      </c>
      <c r="C52" s="271"/>
      <c r="D52" s="271"/>
      <c r="E52" s="271"/>
      <c r="F52" s="271"/>
      <c r="G52" s="271"/>
      <c r="H52" s="271"/>
      <c r="I52" s="271"/>
      <c r="J52" s="236"/>
      <c r="K52" s="76"/>
      <c r="L52" s="56"/>
      <c r="M52" s="56"/>
      <c r="N52" s="56"/>
      <c r="O52" s="56"/>
      <c r="P52" s="56"/>
      <c r="Q52" s="56"/>
      <c r="R52" s="56"/>
      <c r="S52" s="56"/>
    </row>
    <row r="53" spans="1:19" s="180" customFormat="1" ht="14.1" customHeight="1">
      <c r="A53" s="217">
        <v>1</v>
      </c>
      <c r="B53" s="231" t="s">
        <v>106</v>
      </c>
      <c r="C53" s="231" t="s">
        <v>68</v>
      </c>
      <c r="D53" s="231" t="s">
        <v>107</v>
      </c>
      <c r="E53" s="231" t="s">
        <v>108</v>
      </c>
      <c r="F53" s="233">
        <f>H53/10.764</f>
        <v>15750.000000000002</v>
      </c>
      <c r="G53" s="233">
        <f>I53/10.764</f>
        <v>10150.966183574879</v>
      </c>
      <c r="H53" s="233">
        <v>169533</v>
      </c>
      <c r="I53" s="233">
        <v>109265</v>
      </c>
      <c r="J53" s="197"/>
      <c r="K53" s="226" t="s">
        <v>17</v>
      </c>
      <c r="L53" s="227"/>
      <c r="M53" s="227"/>
      <c r="N53" s="227"/>
      <c r="O53" s="216"/>
      <c r="P53" s="216"/>
      <c r="Q53" s="216"/>
      <c r="R53" s="216"/>
      <c r="S53" s="216"/>
    </row>
    <row r="54" spans="1:19" s="26" customFormat="1" ht="14.1" customHeight="1">
      <c r="A54" s="217">
        <v>2</v>
      </c>
      <c r="B54" s="218" t="s">
        <v>106</v>
      </c>
      <c r="C54" s="231" t="s">
        <v>112</v>
      </c>
      <c r="D54" s="218" t="s">
        <v>110</v>
      </c>
      <c r="E54" s="218" t="s">
        <v>49</v>
      </c>
      <c r="F54" s="215">
        <f>H54/10.764</f>
        <v>9060.0148643626908</v>
      </c>
      <c r="G54" s="215">
        <f>I54/10.764</f>
        <v>3623.0026012634712</v>
      </c>
      <c r="H54" s="215">
        <v>97522</v>
      </c>
      <c r="I54" s="215">
        <v>38998</v>
      </c>
      <c r="J54" s="215"/>
      <c r="K54" s="226" t="s">
        <v>111</v>
      </c>
      <c r="L54" s="227"/>
      <c r="M54" s="227"/>
      <c r="N54" s="227"/>
      <c r="O54" s="216"/>
      <c r="P54" s="216"/>
      <c r="Q54" s="216"/>
      <c r="R54" s="216"/>
      <c r="S54" s="216"/>
    </row>
    <row r="55" spans="1:19" s="26" customFormat="1" ht="14.1" customHeight="1">
      <c r="A55" s="217"/>
      <c r="B55" s="267" t="s">
        <v>84</v>
      </c>
      <c r="C55" s="268"/>
      <c r="D55" s="268"/>
      <c r="E55" s="268"/>
      <c r="F55" s="268"/>
      <c r="G55" s="268"/>
      <c r="H55" s="269"/>
      <c r="I55" s="74">
        <f>SUM(I53:I54)</f>
        <v>148263</v>
      </c>
      <c r="J55" s="74"/>
      <c r="K55" s="217"/>
      <c r="L55" s="227"/>
      <c r="M55" s="227"/>
      <c r="N55" s="227"/>
      <c r="O55" s="227"/>
      <c r="P55" s="227"/>
      <c r="Q55" s="227"/>
      <c r="R55" s="227"/>
      <c r="S55" s="227"/>
    </row>
    <row r="56" spans="1:19" s="57" customFormat="1">
      <c r="A56" s="174"/>
      <c r="B56" s="270" t="s">
        <v>113</v>
      </c>
      <c r="C56" s="271"/>
      <c r="D56" s="271"/>
      <c r="E56" s="271"/>
      <c r="F56" s="271"/>
      <c r="G56" s="271"/>
      <c r="H56" s="271"/>
      <c r="I56" s="271"/>
      <c r="J56" s="236"/>
      <c r="K56" s="76"/>
      <c r="L56" s="56"/>
      <c r="M56" s="56"/>
      <c r="N56" s="56"/>
      <c r="O56" s="56"/>
      <c r="P56" s="56"/>
      <c r="Q56" s="56"/>
      <c r="R56" s="56"/>
      <c r="S56" s="56"/>
    </row>
    <row r="57" spans="1:19" s="216" customFormat="1" ht="14.1" customHeight="1">
      <c r="A57" s="217">
        <v>1</v>
      </c>
      <c r="B57" s="218" t="s">
        <v>114</v>
      </c>
      <c r="C57" s="218" t="s">
        <v>121</v>
      </c>
      <c r="D57" s="218" t="s">
        <v>271</v>
      </c>
      <c r="E57" s="218" t="s">
        <v>272</v>
      </c>
      <c r="F57" s="215">
        <f t="shared" ref="F57:G59" si="4">H57/10.764</f>
        <v>42980.955035302861</v>
      </c>
      <c r="G57" s="215">
        <f t="shared" si="4"/>
        <v>42980.955035302861</v>
      </c>
      <c r="H57" s="215">
        <v>462647</v>
      </c>
      <c r="I57" s="233">
        <v>462647</v>
      </c>
      <c r="J57" s="197"/>
      <c r="K57" s="226" t="s">
        <v>17</v>
      </c>
    </row>
    <row r="58" spans="1:19" s="26" customFormat="1" ht="14.1" customHeight="1">
      <c r="A58" s="217">
        <v>2</v>
      </c>
      <c r="B58" s="218" t="s">
        <v>114</v>
      </c>
      <c r="C58" s="218" t="s">
        <v>418</v>
      </c>
      <c r="D58" s="218" t="s">
        <v>116</v>
      </c>
      <c r="E58" s="218" t="s">
        <v>117</v>
      </c>
      <c r="F58" s="215">
        <f t="shared" si="4"/>
        <v>13601.077666295059</v>
      </c>
      <c r="G58" s="215">
        <f t="shared" si="4"/>
        <v>13601.077666295059</v>
      </c>
      <c r="H58" s="215">
        <v>146402</v>
      </c>
      <c r="I58" s="233">
        <v>146402</v>
      </c>
      <c r="J58" s="197"/>
      <c r="K58" s="226" t="s">
        <v>17</v>
      </c>
      <c r="L58" s="216"/>
      <c r="M58" s="216"/>
      <c r="N58" s="216"/>
      <c r="O58" s="216"/>
      <c r="P58" s="216"/>
      <c r="Q58" s="216"/>
      <c r="R58" s="216"/>
      <c r="S58" s="216"/>
    </row>
    <row r="59" spans="1:19" s="216" customFormat="1" ht="14.1" customHeight="1">
      <c r="A59" s="217">
        <v>3</v>
      </c>
      <c r="B59" s="218" t="s">
        <v>114</v>
      </c>
      <c r="C59" s="218" t="s">
        <v>459</v>
      </c>
      <c r="D59" s="218" t="s">
        <v>458</v>
      </c>
      <c r="E59" s="218" t="s">
        <v>120</v>
      </c>
      <c r="F59" s="215">
        <f t="shared" si="4"/>
        <v>11240.616871051654</v>
      </c>
      <c r="G59" s="215">
        <f t="shared" si="4"/>
        <v>11240.616871051654</v>
      </c>
      <c r="H59" s="215">
        <v>120994</v>
      </c>
      <c r="I59" s="233">
        <v>120994</v>
      </c>
      <c r="J59" s="197"/>
      <c r="K59" s="226" t="s">
        <v>17</v>
      </c>
    </row>
    <row r="60" spans="1:19" s="26" customFormat="1" ht="14.1" customHeight="1">
      <c r="A60" s="217">
        <v>5</v>
      </c>
      <c r="B60" s="218" t="s">
        <v>114</v>
      </c>
      <c r="C60" s="218" t="s">
        <v>121</v>
      </c>
      <c r="D60" s="218" t="s">
        <v>122</v>
      </c>
      <c r="E60" s="218" t="s">
        <v>123</v>
      </c>
      <c r="F60" s="215">
        <f t="shared" ref="F60:G62" si="5">H60/10.764</f>
        <v>19012.634708286885</v>
      </c>
      <c r="G60" s="215">
        <f t="shared" si="5"/>
        <v>19012.634708286885</v>
      </c>
      <c r="H60" s="215">
        <v>204652</v>
      </c>
      <c r="I60" s="233">
        <v>204652</v>
      </c>
      <c r="J60" s="197"/>
      <c r="K60" s="226" t="s">
        <v>17</v>
      </c>
      <c r="L60" s="216"/>
      <c r="M60" s="216"/>
      <c r="N60" s="216"/>
      <c r="O60" s="216"/>
      <c r="P60" s="216"/>
      <c r="Q60" s="216"/>
      <c r="R60" s="216"/>
      <c r="S60" s="216"/>
    </row>
    <row r="61" spans="1:19" s="26" customFormat="1" ht="14.1" customHeight="1">
      <c r="A61" s="217">
        <v>6</v>
      </c>
      <c r="B61" s="218" t="s">
        <v>114</v>
      </c>
      <c r="C61" s="218" t="s">
        <v>124</v>
      </c>
      <c r="D61" s="218" t="s">
        <v>125</v>
      </c>
      <c r="E61" s="218" t="s">
        <v>35</v>
      </c>
      <c r="F61" s="215">
        <f t="shared" si="5"/>
        <v>11284.28093645485</v>
      </c>
      <c r="G61" s="215">
        <f t="shared" si="5"/>
        <v>4197.0457079152729</v>
      </c>
      <c r="H61" s="215">
        <v>121464</v>
      </c>
      <c r="I61" s="215">
        <f>H61-76287</f>
        <v>45177</v>
      </c>
      <c r="J61" s="197" t="s">
        <v>126</v>
      </c>
      <c r="K61" s="226" t="s">
        <v>38</v>
      </c>
      <c r="L61" s="216"/>
      <c r="M61" s="216"/>
      <c r="N61" s="216"/>
      <c r="O61" s="216"/>
      <c r="P61" s="216"/>
      <c r="Q61" s="216"/>
      <c r="R61" s="216"/>
      <c r="S61" s="216"/>
    </row>
    <row r="62" spans="1:19" s="26" customFormat="1" ht="14.1" customHeight="1">
      <c r="A62" s="217">
        <v>7</v>
      </c>
      <c r="B62" s="218" t="s">
        <v>114</v>
      </c>
      <c r="C62" s="218" t="s">
        <v>127</v>
      </c>
      <c r="D62" s="218" t="s">
        <v>125</v>
      </c>
      <c r="E62" s="218" t="s">
        <v>35</v>
      </c>
      <c r="F62" s="215">
        <f t="shared" si="5"/>
        <v>5574.1360089186182</v>
      </c>
      <c r="G62" s="215">
        <f>I62/10.764</f>
        <v>5574.1360089186182</v>
      </c>
      <c r="H62" s="215">
        <v>60000</v>
      </c>
      <c r="I62" s="215">
        <v>60000</v>
      </c>
      <c r="J62" s="197"/>
      <c r="K62" s="226" t="s">
        <v>38</v>
      </c>
      <c r="L62" s="216"/>
      <c r="M62" s="216"/>
      <c r="N62" s="216"/>
      <c r="O62" s="216"/>
      <c r="P62" s="216"/>
      <c r="Q62" s="216"/>
      <c r="R62" s="216"/>
      <c r="S62" s="216"/>
    </row>
    <row r="63" spans="1:19" s="26" customFormat="1" ht="14.1" customHeight="1">
      <c r="A63" s="217"/>
      <c r="B63" s="267" t="s">
        <v>84</v>
      </c>
      <c r="C63" s="268"/>
      <c r="D63" s="268"/>
      <c r="E63" s="268"/>
      <c r="F63" s="268"/>
      <c r="G63" s="268"/>
      <c r="H63" s="269"/>
      <c r="I63" s="74">
        <f>SUM(I57:I62)</f>
        <v>1039872</v>
      </c>
      <c r="J63" s="74"/>
      <c r="K63" s="213"/>
      <c r="L63" s="227"/>
      <c r="M63" s="227"/>
      <c r="N63" s="216"/>
      <c r="O63" s="216"/>
      <c r="P63" s="216"/>
      <c r="Q63" s="216"/>
      <c r="R63" s="216"/>
      <c r="S63" s="216"/>
    </row>
    <row r="64" spans="1:19" s="57" customFormat="1" ht="14.1" customHeight="1">
      <c r="A64" s="174"/>
      <c r="B64" s="270" t="s">
        <v>130</v>
      </c>
      <c r="C64" s="271"/>
      <c r="D64" s="271"/>
      <c r="E64" s="271"/>
      <c r="F64" s="271"/>
      <c r="G64" s="271"/>
      <c r="H64" s="271"/>
      <c r="I64" s="271"/>
      <c r="J64" s="236"/>
      <c r="K64" s="174"/>
      <c r="L64" s="56"/>
      <c r="M64" s="56"/>
    </row>
    <row r="65" spans="1:19" s="26" customFormat="1" ht="14.1" customHeight="1">
      <c r="A65" s="217">
        <v>1</v>
      </c>
      <c r="B65" s="218"/>
      <c r="C65" s="218"/>
      <c r="D65" s="218"/>
      <c r="E65" s="218"/>
      <c r="F65" s="215"/>
      <c r="G65" s="215"/>
      <c r="H65" s="215"/>
      <c r="I65" s="215"/>
      <c r="J65" s="215"/>
      <c r="K65" s="226"/>
      <c r="L65" s="227"/>
      <c r="M65" s="227"/>
      <c r="N65" s="216"/>
      <c r="O65" s="216"/>
      <c r="P65" s="216"/>
      <c r="Q65" s="216"/>
      <c r="R65" s="216"/>
      <c r="S65" s="216"/>
    </row>
    <row r="66" spans="1:19" s="26" customFormat="1" ht="14.1" customHeight="1">
      <c r="A66" s="217"/>
      <c r="B66" s="267" t="s">
        <v>84</v>
      </c>
      <c r="C66" s="268"/>
      <c r="D66" s="268"/>
      <c r="E66" s="268"/>
      <c r="F66" s="268"/>
      <c r="G66" s="268"/>
      <c r="H66" s="269"/>
      <c r="I66" s="77">
        <f>SUM(I65:I65)</f>
        <v>0</v>
      </c>
      <c r="J66" s="77"/>
      <c r="K66" s="217"/>
      <c r="L66" s="227"/>
      <c r="M66" s="227"/>
      <c r="N66" s="216"/>
      <c r="O66" s="216"/>
      <c r="P66" s="216"/>
      <c r="Q66" s="216"/>
      <c r="R66" s="216"/>
      <c r="S66" s="216"/>
    </row>
    <row r="67" spans="1:19" s="57" customFormat="1">
      <c r="A67" s="174"/>
      <c r="B67" s="270" t="s">
        <v>131</v>
      </c>
      <c r="C67" s="271"/>
      <c r="D67" s="271"/>
      <c r="E67" s="271"/>
      <c r="F67" s="271"/>
      <c r="G67" s="271"/>
      <c r="H67" s="271"/>
      <c r="I67" s="274"/>
      <c r="J67" s="174"/>
      <c r="K67" s="67"/>
      <c r="L67" s="56"/>
      <c r="M67" s="56"/>
    </row>
    <row r="68" spans="1:19" s="26" customFormat="1" ht="14.25">
      <c r="A68" s="217">
        <v>1</v>
      </c>
      <c r="B68" s="213" t="s">
        <v>132</v>
      </c>
      <c r="C68" s="232" t="s">
        <v>133</v>
      </c>
      <c r="D68" s="213" t="s">
        <v>134</v>
      </c>
      <c r="E68" s="213" t="s">
        <v>135</v>
      </c>
      <c r="F68" s="215">
        <f>H68/10.764</f>
        <v>6243.0323299888523</v>
      </c>
      <c r="G68" s="215">
        <f>I68/10.764</f>
        <v>6243.0323299888523</v>
      </c>
      <c r="H68" s="215">
        <v>67200</v>
      </c>
      <c r="I68" s="215">
        <v>67200</v>
      </c>
      <c r="J68" s="78"/>
      <c r="K68" s="226" t="s">
        <v>17</v>
      </c>
      <c r="L68" s="227"/>
      <c r="M68" s="227"/>
      <c r="N68" s="216"/>
      <c r="O68" s="216"/>
      <c r="P68" s="216"/>
      <c r="Q68" s="216"/>
      <c r="R68" s="216"/>
      <c r="S68" s="216"/>
    </row>
    <row r="69" spans="1:19" s="26" customFormat="1" ht="14.25">
      <c r="A69" s="217"/>
      <c r="B69" s="267" t="s">
        <v>84</v>
      </c>
      <c r="C69" s="268"/>
      <c r="D69" s="268"/>
      <c r="E69" s="268"/>
      <c r="F69" s="268"/>
      <c r="G69" s="268"/>
      <c r="H69" s="269"/>
      <c r="I69" s="74">
        <f>SUM(I68:I68)</f>
        <v>67200</v>
      </c>
      <c r="J69" s="74"/>
      <c r="K69" s="217"/>
      <c r="L69" s="227"/>
      <c r="M69" s="227"/>
      <c r="N69" s="227"/>
      <c r="O69" s="227"/>
      <c r="P69" s="216"/>
      <c r="Q69" s="216"/>
      <c r="R69" s="216"/>
      <c r="S69" s="216"/>
    </row>
    <row r="70" spans="1:19" s="57" customFormat="1" ht="14.1" customHeight="1">
      <c r="A70" s="174"/>
      <c r="B70" s="270" t="s">
        <v>136</v>
      </c>
      <c r="C70" s="271"/>
      <c r="D70" s="271"/>
      <c r="E70" s="271"/>
      <c r="F70" s="271"/>
      <c r="G70" s="271"/>
      <c r="H70" s="271"/>
      <c r="I70" s="271"/>
      <c r="J70" s="236"/>
      <c r="K70" s="238"/>
      <c r="L70" s="79"/>
      <c r="M70" s="56"/>
      <c r="N70" s="56"/>
      <c r="O70" s="56"/>
      <c r="P70" s="56"/>
      <c r="Q70" s="56"/>
      <c r="R70" s="56"/>
      <c r="S70" s="56"/>
    </row>
    <row r="71" spans="1:19" s="26" customFormat="1" ht="14.1" customHeight="1">
      <c r="A71" s="217">
        <v>1</v>
      </c>
      <c r="B71" s="218" t="s">
        <v>137</v>
      </c>
      <c r="C71" s="218" t="s">
        <v>138</v>
      </c>
      <c r="D71" s="218" t="s">
        <v>139</v>
      </c>
      <c r="E71" s="218" t="s">
        <v>140</v>
      </c>
      <c r="F71" s="215">
        <f>H71/10.764</f>
        <v>3737.4581939799332</v>
      </c>
      <c r="G71" s="215">
        <f>I71/10.764</f>
        <v>3737.4581939799332</v>
      </c>
      <c r="H71" s="215">
        <v>40230</v>
      </c>
      <c r="I71" s="215">
        <v>40230</v>
      </c>
      <c r="J71" s="80"/>
      <c r="K71" s="226" t="s">
        <v>38</v>
      </c>
      <c r="L71" s="81"/>
      <c r="M71" s="227"/>
      <c r="N71" s="227"/>
      <c r="O71" s="227"/>
      <c r="P71" s="227"/>
      <c r="Q71" s="227"/>
      <c r="R71" s="227"/>
      <c r="S71" s="227"/>
    </row>
    <row r="72" spans="1:19" s="26" customFormat="1" ht="14.1" customHeight="1">
      <c r="A72" s="217">
        <v>2</v>
      </c>
      <c r="B72" s="218" t="s">
        <v>137</v>
      </c>
      <c r="C72" s="231" t="s">
        <v>141</v>
      </c>
      <c r="D72" s="218" t="s">
        <v>142</v>
      </c>
      <c r="E72" s="218" t="s">
        <v>143</v>
      </c>
      <c r="F72" s="215">
        <f t="shared" ref="F72:G74" si="6">H72/10.764</f>
        <v>2906.3545150501673</v>
      </c>
      <c r="G72" s="215">
        <f t="shared" si="6"/>
        <v>2906.3545150501673</v>
      </c>
      <c r="H72" s="215">
        <v>31284</v>
      </c>
      <c r="I72" s="215">
        <v>31284</v>
      </c>
      <c r="J72" s="80"/>
      <c r="K72" s="226" t="s">
        <v>17</v>
      </c>
      <c r="L72" s="81"/>
      <c r="M72" s="227"/>
      <c r="N72" s="227"/>
      <c r="O72" s="227"/>
      <c r="P72" s="227"/>
      <c r="Q72" s="227"/>
      <c r="R72" s="227"/>
      <c r="S72" s="227"/>
    </row>
    <row r="73" spans="1:19" s="26" customFormat="1" ht="14.1" customHeight="1">
      <c r="A73" s="217">
        <v>3</v>
      </c>
      <c r="B73" s="218" t="s">
        <v>137</v>
      </c>
      <c r="C73" s="82" t="s">
        <v>145</v>
      </c>
      <c r="D73" s="218" t="s">
        <v>144</v>
      </c>
      <c r="E73" s="218" t="s">
        <v>49</v>
      </c>
      <c r="F73" s="215">
        <f t="shared" si="6"/>
        <v>4804.9981419546639</v>
      </c>
      <c r="G73" s="215">
        <f t="shared" si="6"/>
        <v>4804.9981419546639</v>
      </c>
      <c r="H73" s="215">
        <v>51721</v>
      </c>
      <c r="I73" s="215">
        <v>51721</v>
      </c>
      <c r="J73" s="80"/>
      <c r="K73" s="226" t="s">
        <v>38</v>
      </c>
      <c r="L73" s="81"/>
      <c r="M73" s="227"/>
      <c r="N73" s="227"/>
      <c r="O73" s="227"/>
      <c r="P73" s="227"/>
      <c r="Q73" s="227"/>
      <c r="R73" s="227"/>
      <c r="S73" s="227"/>
    </row>
    <row r="74" spans="1:19" s="216" customFormat="1" ht="14.1" customHeight="1">
      <c r="A74" s="217">
        <v>4</v>
      </c>
      <c r="B74" s="218" t="s">
        <v>137</v>
      </c>
      <c r="C74" s="218" t="s">
        <v>318</v>
      </c>
      <c r="D74" s="218" t="s">
        <v>319</v>
      </c>
      <c r="E74" s="218" t="s">
        <v>320</v>
      </c>
      <c r="F74" s="215">
        <f t="shared" si="6"/>
        <v>53871.980676328509</v>
      </c>
      <c r="G74" s="215">
        <f>I74/10.764</f>
        <v>53871.980676328509</v>
      </c>
      <c r="H74" s="215">
        <v>579878</v>
      </c>
      <c r="I74" s="215">
        <v>579878</v>
      </c>
      <c r="J74" s="197"/>
      <c r="K74" s="226" t="s">
        <v>38</v>
      </c>
      <c r="L74" s="227"/>
      <c r="M74" s="227"/>
      <c r="N74" s="227"/>
      <c r="O74" s="227"/>
      <c r="P74" s="227"/>
      <c r="Q74" s="227"/>
      <c r="R74" s="227"/>
      <c r="S74" s="227"/>
    </row>
    <row r="75" spans="1:19" s="26" customFormat="1" ht="14.1" customHeight="1">
      <c r="A75" s="217"/>
      <c r="B75" s="267" t="s">
        <v>84</v>
      </c>
      <c r="C75" s="268"/>
      <c r="D75" s="268"/>
      <c r="E75" s="268"/>
      <c r="F75" s="268"/>
      <c r="G75" s="268"/>
      <c r="H75" s="269"/>
      <c r="I75" s="74">
        <f>SUM(I71:I74)</f>
        <v>703113</v>
      </c>
      <c r="J75" s="74"/>
      <c r="K75" s="217"/>
      <c r="L75" s="227"/>
      <c r="M75" s="227"/>
      <c r="N75" s="227"/>
      <c r="O75" s="227"/>
      <c r="P75" s="227"/>
      <c r="Q75" s="227"/>
      <c r="R75" s="227"/>
      <c r="S75" s="227"/>
    </row>
    <row r="76" spans="1:19" s="57" customFormat="1" ht="14.1" customHeight="1">
      <c r="A76" s="174"/>
      <c r="B76" s="270" t="s">
        <v>150</v>
      </c>
      <c r="C76" s="271"/>
      <c r="D76" s="271"/>
      <c r="E76" s="271"/>
      <c r="F76" s="271"/>
      <c r="G76" s="271"/>
      <c r="H76" s="271"/>
      <c r="I76" s="271"/>
      <c r="J76" s="236"/>
      <c r="K76" s="76"/>
      <c r="L76" s="56"/>
      <c r="M76" s="56"/>
      <c r="N76" s="56"/>
      <c r="O76" s="56"/>
      <c r="P76" s="56"/>
      <c r="Q76" s="56"/>
      <c r="R76" s="56"/>
      <c r="S76" s="56"/>
    </row>
    <row r="77" spans="1:19" s="180" customFormat="1" ht="14.25">
      <c r="A77" s="217">
        <v>1</v>
      </c>
      <c r="B77" s="231" t="s">
        <v>151</v>
      </c>
      <c r="C77" s="232" t="s">
        <v>152</v>
      </c>
      <c r="D77" s="232" t="s">
        <v>153</v>
      </c>
      <c r="E77" s="232" t="s">
        <v>154</v>
      </c>
      <c r="F77" s="233">
        <f>H77/10.764</f>
        <v>11308.992939427722</v>
      </c>
      <c r="G77" s="233">
        <f>I77/10.764</f>
        <v>11308.992939427722</v>
      </c>
      <c r="H77" s="233">
        <v>121730</v>
      </c>
      <c r="I77" s="233">
        <v>121730</v>
      </c>
      <c r="J77" s="233"/>
      <c r="K77" s="226" t="s">
        <v>17</v>
      </c>
      <c r="L77" s="214"/>
      <c r="M77" s="214"/>
      <c r="N77" s="214"/>
      <c r="O77" s="214"/>
      <c r="P77" s="227"/>
      <c r="Q77" s="227"/>
      <c r="R77" s="227"/>
      <c r="S77" s="227"/>
    </row>
    <row r="78" spans="1:19" s="180" customFormat="1" ht="14.25">
      <c r="A78" s="217">
        <v>2</v>
      </c>
      <c r="B78" s="231" t="s">
        <v>151</v>
      </c>
      <c r="C78" s="232" t="s">
        <v>155</v>
      </c>
      <c r="D78" s="232" t="s">
        <v>153</v>
      </c>
      <c r="E78" s="232" t="s">
        <v>154</v>
      </c>
      <c r="F78" s="233">
        <f>H78/10.764</f>
        <v>11055.927164622817</v>
      </c>
      <c r="G78" s="233">
        <f>I78/10.764</f>
        <v>11055.927164622817</v>
      </c>
      <c r="H78" s="233">
        <v>119006</v>
      </c>
      <c r="I78" s="233">
        <v>119006</v>
      </c>
      <c r="J78" s="233"/>
      <c r="K78" s="226" t="s">
        <v>17</v>
      </c>
      <c r="L78" s="214"/>
      <c r="M78" s="214"/>
      <c r="N78" s="214"/>
      <c r="O78" s="214"/>
      <c r="P78" s="227"/>
      <c r="Q78" s="227"/>
      <c r="R78" s="227"/>
      <c r="S78" s="227"/>
    </row>
    <row r="79" spans="1:19" s="26" customFormat="1" ht="14.25">
      <c r="A79" s="217">
        <v>3</v>
      </c>
      <c r="B79" s="231" t="s">
        <v>151</v>
      </c>
      <c r="C79" s="232" t="s">
        <v>156</v>
      </c>
      <c r="D79" s="232" t="s">
        <v>157</v>
      </c>
      <c r="E79" s="232" t="s">
        <v>158</v>
      </c>
      <c r="F79" s="233">
        <v>9000</v>
      </c>
      <c r="G79" s="233">
        <v>9000</v>
      </c>
      <c r="H79" s="233">
        <f>F79*10.764</f>
        <v>96876</v>
      </c>
      <c r="I79" s="233">
        <f>G79*10.764</f>
        <v>96876</v>
      </c>
      <c r="J79" s="233"/>
      <c r="K79" s="226" t="s">
        <v>17</v>
      </c>
      <c r="L79" s="214"/>
      <c r="M79" s="214"/>
      <c r="N79" s="214"/>
      <c r="O79" s="214"/>
      <c r="P79" s="227"/>
      <c r="Q79" s="227"/>
      <c r="R79" s="227"/>
      <c r="S79" s="227"/>
    </row>
    <row r="80" spans="1:19" s="180" customFormat="1" ht="14.25">
      <c r="A80" s="217">
        <v>4</v>
      </c>
      <c r="B80" s="231" t="s">
        <v>151</v>
      </c>
      <c r="C80" s="232" t="s">
        <v>159</v>
      </c>
      <c r="D80" s="232" t="s">
        <v>160</v>
      </c>
      <c r="E80" s="232" t="s">
        <v>24</v>
      </c>
      <c r="F80" s="233">
        <f t="shared" ref="F80:G83" si="7">H80/10.764</f>
        <v>2599.9628390932739</v>
      </c>
      <c r="G80" s="233">
        <f t="shared" si="7"/>
        <v>2599.9628390932739</v>
      </c>
      <c r="H80" s="233">
        <v>27986</v>
      </c>
      <c r="I80" s="233">
        <v>27986</v>
      </c>
      <c r="J80" s="233"/>
      <c r="K80" s="226" t="s">
        <v>17</v>
      </c>
      <c r="L80" s="214"/>
      <c r="M80" s="214"/>
      <c r="N80" s="214"/>
      <c r="O80" s="214"/>
      <c r="P80" s="227"/>
      <c r="Q80" s="227"/>
      <c r="R80" s="227"/>
      <c r="S80" s="227"/>
    </row>
    <row r="81" spans="1:19" s="194" customFormat="1" ht="14.25">
      <c r="A81" s="217">
        <v>5</v>
      </c>
      <c r="B81" s="231" t="s">
        <v>151</v>
      </c>
      <c r="C81" s="232" t="s">
        <v>161</v>
      </c>
      <c r="D81" s="232" t="s">
        <v>162</v>
      </c>
      <c r="E81" s="232" t="s">
        <v>41</v>
      </c>
      <c r="F81" s="233">
        <f t="shared" si="7"/>
        <v>15061.872909698997</v>
      </c>
      <c r="G81" s="233">
        <f t="shared" si="7"/>
        <v>3258.6399108138239</v>
      </c>
      <c r="H81" s="233">
        <v>162126</v>
      </c>
      <c r="I81" s="233">
        <v>35076</v>
      </c>
      <c r="J81" s="233"/>
      <c r="K81" s="226" t="s">
        <v>17</v>
      </c>
      <c r="L81" s="214"/>
      <c r="M81" s="214"/>
      <c r="N81" s="214"/>
      <c r="O81" s="214"/>
      <c r="P81" s="227"/>
      <c r="Q81" s="227"/>
      <c r="R81" s="227"/>
      <c r="S81" s="227"/>
    </row>
    <row r="82" spans="1:19" s="216" customFormat="1" ht="14.25">
      <c r="A82" s="217">
        <v>6</v>
      </c>
      <c r="B82" s="231" t="s">
        <v>151</v>
      </c>
      <c r="C82" s="232" t="s">
        <v>451</v>
      </c>
      <c r="D82" s="232" t="s">
        <v>162</v>
      </c>
      <c r="E82" s="232" t="s">
        <v>41</v>
      </c>
      <c r="F82" s="233">
        <f t="shared" si="7"/>
        <v>12541.80602006689</v>
      </c>
      <c r="G82" s="233">
        <f t="shared" si="7"/>
        <v>5574.1360089186182</v>
      </c>
      <c r="H82" s="233">
        <v>135000</v>
      </c>
      <c r="I82" s="233">
        <v>60000</v>
      </c>
      <c r="J82" s="233"/>
      <c r="K82" s="226" t="s">
        <v>17</v>
      </c>
      <c r="L82" s="214"/>
      <c r="M82" s="214"/>
      <c r="N82" s="214"/>
      <c r="O82" s="214"/>
      <c r="P82" s="227"/>
      <c r="Q82" s="227"/>
      <c r="R82" s="227"/>
      <c r="S82" s="227"/>
    </row>
    <row r="83" spans="1:19" s="194" customFormat="1" ht="14.25">
      <c r="A83" s="217">
        <v>7</v>
      </c>
      <c r="B83" s="231" t="s">
        <v>151</v>
      </c>
      <c r="C83" s="232" t="s">
        <v>163</v>
      </c>
      <c r="D83" s="232" t="s">
        <v>164</v>
      </c>
      <c r="E83" s="232" t="s">
        <v>41</v>
      </c>
      <c r="F83" s="233">
        <f t="shared" si="7"/>
        <v>33454.663693794129</v>
      </c>
      <c r="G83" s="233">
        <f t="shared" si="7"/>
        <v>1685.6187290969901</v>
      </c>
      <c r="H83" s="233">
        <v>360106</v>
      </c>
      <c r="I83" s="233">
        <v>18144</v>
      </c>
      <c r="J83" s="233"/>
      <c r="K83" s="226" t="s">
        <v>17</v>
      </c>
      <c r="L83" s="214"/>
      <c r="M83" s="214"/>
      <c r="N83" s="214"/>
      <c r="O83" s="214"/>
      <c r="P83" s="227"/>
      <c r="Q83" s="227"/>
      <c r="R83" s="227"/>
      <c r="S83" s="227"/>
    </row>
    <row r="84" spans="1:19" s="26" customFormat="1" ht="14.1" customHeight="1">
      <c r="A84" s="217">
        <v>8</v>
      </c>
      <c r="B84" s="218" t="s">
        <v>151</v>
      </c>
      <c r="C84" s="231" t="s">
        <v>167</v>
      </c>
      <c r="D84" s="218" t="s">
        <v>168</v>
      </c>
      <c r="E84" s="218" t="s">
        <v>169</v>
      </c>
      <c r="F84" s="215">
        <f t="shared" ref="F84:G86" si="8">H84/10.764</f>
        <v>4000.0000000000005</v>
      </c>
      <c r="G84" s="215">
        <f t="shared" si="8"/>
        <v>1000.0000000000001</v>
      </c>
      <c r="H84" s="215">
        <v>43056</v>
      </c>
      <c r="I84" s="215">
        <v>10764</v>
      </c>
      <c r="J84" s="215"/>
      <c r="K84" s="226" t="s">
        <v>38</v>
      </c>
      <c r="L84" s="214"/>
      <c r="M84" s="214"/>
      <c r="N84" s="214"/>
      <c r="O84" s="214"/>
      <c r="P84" s="216"/>
      <c r="Q84" s="216"/>
      <c r="R84" s="216"/>
      <c r="S84" s="216"/>
    </row>
    <row r="85" spans="1:19" s="194" customFormat="1" ht="14.1" customHeight="1">
      <c r="A85" s="217">
        <v>9</v>
      </c>
      <c r="B85" s="218" t="s">
        <v>151</v>
      </c>
      <c r="C85" s="231" t="s">
        <v>170</v>
      </c>
      <c r="D85" s="218" t="s">
        <v>171</v>
      </c>
      <c r="E85" s="218" t="s">
        <v>82</v>
      </c>
      <c r="F85" s="215">
        <f t="shared" si="8"/>
        <v>7632.7573392790791</v>
      </c>
      <c r="G85" s="215">
        <f t="shared" si="8"/>
        <v>7632.7573392790791</v>
      </c>
      <c r="H85" s="215">
        <v>82159</v>
      </c>
      <c r="I85" s="215">
        <v>82159</v>
      </c>
      <c r="J85" s="215"/>
      <c r="K85" s="226" t="s">
        <v>17</v>
      </c>
      <c r="L85" s="214"/>
      <c r="M85" s="214"/>
      <c r="N85" s="214"/>
      <c r="O85" s="214"/>
      <c r="P85" s="216"/>
      <c r="Q85" s="216"/>
      <c r="R85" s="216"/>
      <c r="S85" s="216"/>
    </row>
    <row r="86" spans="1:19" s="216" customFormat="1" ht="14.1" customHeight="1">
      <c r="A86" s="217">
        <v>10</v>
      </c>
      <c r="B86" s="218" t="s">
        <v>151</v>
      </c>
      <c r="C86" s="231" t="s">
        <v>454</v>
      </c>
      <c r="D86" s="218" t="s">
        <v>171</v>
      </c>
      <c r="E86" s="218" t="s">
        <v>82</v>
      </c>
      <c r="F86" s="215">
        <f t="shared" si="8"/>
        <v>18050.91044221479</v>
      </c>
      <c r="G86" s="215">
        <f t="shared" si="8"/>
        <v>18050.91044221479</v>
      </c>
      <c r="H86" s="215">
        <v>194300</v>
      </c>
      <c r="I86" s="215">
        <v>194300</v>
      </c>
      <c r="J86" s="215"/>
      <c r="K86" s="226" t="s">
        <v>17</v>
      </c>
      <c r="L86" s="214"/>
      <c r="M86" s="214"/>
      <c r="N86" s="214"/>
      <c r="O86" s="214"/>
    </row>
    <row r="87" spans="1:19" s="57" customFormat="1" ht="14.1" customHeight="1">
      <c r="A87" s="217"/>
      <c r="B87" s="267" t="s">
        <v>84</v>
      </c>
      <c r="C87" s="268"/>
      <c r="D87" s="268"/>
      <c r="E87" s="268"/>
      <c r="F87" s="268"/>
      <c r="G87" s="268"/>
      <c r="H87" s="269"/>
      <c r="I87" s="77">
        <f>SUM(I77:I86)</f>
        <v>766041</v>
      </c>
      <c r="J87" s="77"/>
      <c r="K87" s="83"/>
      <c r="L87" s="56"/>
      <c r="M87" s="56"/>
      <c r="N87" s="56"/>
      <c r="O87" s="56"/>
      <c r="P87" s="56"/>
      <c r="Q87" s="56"/>
      <c r="R87" s="56"/>
      <c r="S87" s="56"/>
    </row>
    <row r="88" spans="1:19" s="26" customFormat="1" ht="14.25">
      <c r="A88" s="174"/>
      <c r="B88" s="270" t="s">
        <v>172</v>
      </c>
      <c r="C88" s="271"/>
      <c r="D88" s="271"/>
      <c r="E88" s="271"/>
      <c r="F88" s="271"/>
      <c r="G88" s="271"/>
      <c r="H88" s="271"/>
      <c r="I88" s="271"/>
      <c r="J88" s="236"/>
      <c r="K88" s="76"/>
      <c r="L88" s="214"/>
      <c r="M88" s="214"/>
      <c r="N88" s="214"/>
      <c r="O88" s="214"/>
      <c r="P88" s="227"/>
      <c r="Q88" s="227"/>
      <c r="R88" s="227"/>
      <c r="S88" s="227"/>
    </row>
    <row r="89" spans="1:19" s="26" customFormat="1" ht="14.1" customHeight="1">
      <c r="A89" s="217">
        <v>1</v>
      </c>
      <c r="B89" s="218" t="s">
        <v>173</v>
      </c>
      <c r="C89" s="213" t="s">
        <v>174</v>
      </c>
      <c r="D89" s="213" t="s">
        <v>175</v>
      </c>
      <c r="E89" s="213" t="s">
        <v>104</v>
      </c>
      <c r="F89" s="215">
        <f>H89/10.764</f>
        <v>4878.2051282051289</v>
      </c>
      <c r="G89" s="215">
        <f>I89/10.764</f>
        <v>4878.2051282051289</v>
      </c>
      <c r="H89" s="215">
        <v>52509</v>
      </c>
      <c r="I89" s="215">
        <v>52509</v>
      </c>
      <c r="J89" s="215"/>
      <c r="K89" s="226" t="s">
        <v>17</v>
      </c>
      <c r="L89" s="81"/>
      <c r="M89" s="227"/>
      <c r="N89" s="227"/>
      <c r="O89" s="227"/>
      <c r="P89" s="227"/>
      <c r="Q89" s="227"/>
      <c r="R89" s="227"/>
      <c r="S89" s="227"/>
    </row>
    <row r="90" spans="1:19" s="57" customFormat="1" ht="14.1" customHeight="1">
      <c r="A90" s="217"/>
      <c r="B90" s="267" t="s">
        <v>84</v>
      </c>
      <c r="C90" s="268"/>
      <c r="D90" s="268"/>
      <c r="E90" s="268"/>
      <c r="F90" s="268"/>
      <c r="G90" s="268"/>
      <c r="H90" s="269"/>
      <c r="I90" s="77">
        <f>SUM(I89:I89)</f>
        <v>52509</v>
      </c>
      <c r="J90" s="77"/>
      <c r="K90" s="83"/>
      <c r="L90" s="79"/>
      <c r="M90" s="56"/>
      <c r="N90" s="56"/>
      <c r="O90" s="56"/>
      <c r="P90" s="56"/>
      <c r="Q90" s="56"/>
      <c r="R90" s="56"/>
      <c r="S90" s="56"/>
    </row>
    <row r="91" spans="1:19">
      <c r="A91" s="84"/>
      <c r="B91" s="272" t="s">
        <v>84</v>
      </c>
      <c r="C91" s="273"/>
      <c r="D91" s="273"/>
      <c r="E91" s="273"/>
      <c r="F91" s="273"/>
      <c r="G91" s="273"/>
      <c r="H91" s="273"/>
      <c r="I91" s="85">
        <f>I39+I51+I55+I63+I66+I69+I75+I87+I90</f>
        <v>6221592</v>
      </c>
      <c r="J91" s="86"/>
      <c r="K91" s="87"/>
    </row>
    <row r="93" spans="1:19">
      <c r="E93" t="s">
        <v>551</v>
      </c>
    </row>
    <row r="94" spans="1:19">
      <c r="F94" s="88"/>
    </row>
  </sheetData>
  <autoFilter ref="A4:K91" xr:uid="{DFB0C4B3-5270-44E0-AB2A-4AB85ABC7801}"/>
  <mergeCells count="21">
    <mergeCell ref="B51:H51"/>
    <mergeCell ref="B52:I52"/>
    <mergeCell ref="A1:K1"/>
    <mergeCell ref="A2:K2"/>
    <mergeCell ref="B5:I5"/>
    <mergeCell ref="B39:H39"/>
    <mergeCell ref="B40:I40"/>
    <mergeCell ref="B87:H87"/>
    <mergeCell ref="B88:I88"/>
    <mergeCell ref="B90:H90"/>
    <mergeCell ref="B91:H91"/>
    <mergeCell ref="B55:H55"/>
    <mergeCell ref="B56:I56"/>
    <mergeCell ref="B63:H63"/>
    <mergeCell ref="B64:I64"/>
    <mergeCell ref="B66:H66"/>
    <mergeCell ref="B67:I67"/>
    <mergeCell ref="B69:H69"/>
    <mergeCell ref="B70:I70"/>
    <mergeCell ref="B75:H75"/>
    <mergeCell ref="B76:I76"/>
  </mergeCells>
  <pageMargins left="0.70866141732283472" right="0.70866141732283472" top="0.74803149606299213" bottom="0.74803149606299213" header="0.31496062992125984" footer="0.31496062992125984"/>
  <pageSetup paperSize="17" scale="8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B1F1-AB2D-4BAF-A100-22805A4BEB38}">
  <dimension ref="A1:K41"/>
  <sheetViews>
    <sheetView workbookViewId="0">
      <selection activeCell="B11" sqref="B11:E11"/>
    </sheetView>
  </sheetViews>
  <sheetFormatPr baseColWidth="10" defaultColWidth="11.42578125" defaultRowHeight="15"/>
  <cols>
    <col min="1" max="1" width="2.7109375" customWidth="1"/>
    <col min="2" max="2" width="17.42578125" customWidth="1"/>
    <col min="3" max="3" width="20.42578125" customWidth="1"/>
    <col min="4" max="4" width="37" customWidth="1"/>
    <col min="5" max="5" width="22.42578125" customWidth="1"/>
    <col min="7" max="7" width="13.7109375" customWidth="1"/>
    <col min="8" max="8" width="26.140625" customWidth="1"/>
    <col min="9" max="9" width="12.5703125" customWidth="1"/>
  </cols>
  <sheetData>
    <row r="1" spans="1:9" s="57" customFormat="1" ht="22.5">
      <c r="A1" s="89"/>
      <c r="B1" s="288" t="s">
        <v>0</v>
      </c>
      <c r="C1" s="288"/>
      <c r="D1" s="288"/>
      <c r="E1" s="288"/>
      <c r="F1" s="288"/>
      <c r="G1" s="288"/>
      <c r="H1" s="288"/>
      <c r="I1" s="288"/>
    </row>
    <row r="2" spans="1:9" s="57" customFormat="1">
      <c r="A2" s="59"/>
      <c r="B2" s="289" t="s">
        <v>310</v>
      </c>
      <c r="C2" s="289"/>
      <c r="D2" s="289"/>
      <c r="E2" s="289"/>
      <c r="F2" s="289"/>
      <c r="G2" s="289"/>
      <c r="H2" s="289"/>
      <c r="I2" s="289"/>
    </row>
    <row r="3" spans="1:9" s="59" customFormat="1" ht="15" customHeight="1"/>
    <row r="4" spans="1:9" s="57" customFormat="1">
      <c r="A4" s="90"/>
      <c r="B4" s="64" t="s">
        <v>2</v>
      </c>
      <c r="C4" s="64" t="s">
        <v>3</v>
      </c>
      <c r="D4" s="64" t="s">
        <v>4</v>
      </c>
      <c r="E4" s="64" t="s">
        <v>5</v>
      </c>
      <c r="F4" s="64" t="s">
        <v>179</v>
      </c>
      <c r="G4" s="64" t="s">
        <v>180</v>
      </c>
      <c r="H4" s="64" t="s">
        <v>10</v>
      </c>
      <c r="I4" s="65" t="s">
        <v>311</v>
      </c>
    </row>
    <row r="5" spans="1:9" s="57" customFormat="1" ht="20.25">
      <c r="A5" s="174"/>
      <c r="B5" s="277" t="s">
        <v>12</v>
      </c>
      <c r="C5" s="277"/>
      <c r="D5" s="277"/>
      <c r="E5" s="277"/>
      <c r="F5" s="277"/>
      <c r="G5" s="277"/>
      <c r="H5" s="277"/>
      <c r="I5" s="277"/>
    </row>
    <row r="6" spans="1:9" s="57" customFormat="1">
      <c r="A6" s="217">
        <v>1</v>
      </c>
      <c r="B6" s="218" t="s">
        <v>13</v>
      </c>
      <c r="C6" s="218" t="s">
        <v>502</v>
      </c>
      <c r="D6" s="218" t="s">
        <v>189</v>
      </c>
      <c r="E6" s="217" t="s">
        <v>140</v>
      </c>
      <c r="F6" s="196">
        <f>G6/10.764</f>
        <v>9290.2266815310304</v>
      </c>
      <c r="G6" s="196">
        <v>100000</v>
      </c>
      <c r="H6" s="183"/>
      <c r="I6" s="178" t="s">
        <v>440</v>
      </c>
    </row>
    <row r="7" spans="1:9" s="194" customFormat="1" ht="14.25">
      <c r="A7" s="217">
        <v>2</v>
      </c>
      <c r="B7" s="218" t="s">
        <v>13</v>
      </c>
      <c r="C7" s="218" t="s">
        <v>314</v>
      </c>
      <c r="D7" s="218" t="s">
        <v>19</v>
      </c>
      <c r="E7" s="217" t="s">
        <v>315</v>
      </c>
      <c r="F7" s="196">
        <f>G7/10.764</f>
        <v>18580.453363062061</v>
      </c>
      <c r="G7" s="196">
        <v>200000</v>
      </c>
      <c r="H7" s="183"/>
      <c r="I7" s="178" t="s">
        <v>321</v>
      </c>
    </row>
    <row r="8" spans="1:9" s="216" customFormat="1" ht="14.25">
      <c r="A8" s="217">
        <v>3</v>
      </c>
      <c r="B8" s="231" t="s">
        <v>13</v>
      </c>
      <c r="C8" s="231" t="s">
        <v>452</v>
      </c>
      <c r="D8" s="231" t="s">
        <v>453</v>
      </c>
      <c r="E8" s="230" t="s">
        <v>82</v>
      </c>
      <c r="F8" s="184">
        <f>G8/10.764</f>
        <v>13006.317354143443</v>
      </c>
      <c r="G8" s="184">
        <v>140000</v>
      </c>
      <c r="H8" s="246"/>
      <c r="I8" s="247" t="s">
        <v>440</v>
      </c>
    </row>
    <row r="9" spans="1:9" s="180" customFormat="1" ht="14.25">
      <c r="A9" s="217">
        <v>4</v>
      </c>
      <c r="B9" s="91" t="s">
        <v>13</v>
      </c>
      <c r="C9" s="242" t="s">
        <v>456</v>
      </c>
      <c r="D9" s="242" t="s">
        <v>457</v>
      </c>
      <c r="E9" s="243" t="s">
        <v>79</v>
      </c>
      <c r="F9" s="244">
        <f>G9/10.764</f>
        <v>5759.9405425492387</v>
      </c>
      <c r="G9" s="244">
        <v>62000</v>
      </c>
      <c r="H9" s="245"/>
      <c r="I9" s="92" t="s">
        <v>321</v>
      </c>
    </row>
    <row r="10" spans="1:9" s="216" customFormat="1" ht="14.25">
      <c r="A10" s="210">
        <v>5</v>
      </c>
      <c r="B10" s="218" t="s">
        <v>13</v>
      </c>
      <c r="C10" s="218" t="s">
        <v>121</v>
      </c>
      <c r="D10" s="218" t="s">
        <v>504</v>
      </c>
      <c r="E10" s="217" t="s">
        <v>104</v>
      </c>
      <c r="F10" s="244">
        <f>G10/10.764</f>
        <v>13000</v>
      </c>
      <c r="G10" s="196">
        <v>139932</v>
      </c>
      <c r="H10" s="183"/>
      <c r="I10" s="178" t="s">
        <v>440</v>
      </c>
    </row>
    <row r="11" spans="1:9" s="26" customFormat="1" ht="14.25" customHeight="1">
      <c r="A11" s="210"/>
      <c r="B11" s="282" t="s">
        <v>84</v>
      </c>
      <c r="C11" s="283"/>
      <c r="D11" s="283"/>
      <c r="E11" s="284"/>
      <c r="F11" s="93">
        <f>SUM(F6:F10)</f>
        <v>59636.937941285774</v>
      </c>
      <c r="G11" s="94">
        <f>SUM(G6:G10)</f>
        <v>641932</v>
      </c>
      <c r="H11" s="95"/>
      <c r="I11" s="96"/>
    </row>
    <row r="12" spans="1:9" s="57" customFormat="1" ht="14.25" customHeight="1">
      <c r="A12" s="174"/>
      <c r="B12" s="277" t="s">
        <v>150</v>
      </c>
      <c r="C12" s="277"/>
      <c r="D12" s="277"/>
      <c r="E12" s="277"/>
      <c r="F12" s="277"/>
      <c r="G12" s="277"/>
      <c r="H12" s="277"/>
      <c r="I12" s="277"/>
    </row>
    <row r="13" spans="1:9" s="177" customFormat="1" ht="14.25">
      <c r="A13" s="217">
        <v>1</v>
      </c>
      <c r="B13" s="218" t="s">
        <v>151</v>
      </c>
      <c r="C13" s="218" t="s">
        <v>316</v>
      </c>
      <c r="D13" s="218" t="s">
        <v>162</v>
      </c>
      <c r="E13" s="217" t="s">
        <v>41</v>
      </c>
      <c r="F13" s="196">
        <f>G13/10.764</f>
        <v>20691.007060572279</v>
      </c>
      <c r="G13" s="196">
        <v>222718</v>
      </c>
      <c r="H13" s="183"/>
      <c r="I13" s="178" t="s">
        <v>321</v>
      </c>
    </row>
    <row r="14" spans="1:9" s="98" customFormat="1" ht="14.25">
      <c r="A14" s="46"/>
      <c r="B14" s="282" t="s">
        <v>84</v>
      </c>
      <c r="C14" s="283"/>
      <c r="D14" s="283"/>
      <c r="E14" s="284"/>
      <c r="F14" s="93">
        <f>SUM(F13:F13)</f>
        <v>20691.007060572279</v>
      </c>
      <c r="G14" s="94">
        <f>SUM(G13:G13)</f>
        <v>222718</v>
      </c>
      <c r="H14" s="94"/>
      <c r="I14" s="96"/>
    </row>
    <row r="15" spans="1:9" s="57" customFormat="1" ht="20.25">
      <c r="A15" s="174"/>
      <c r="B15" s="277" t="s">
        <v>113</v>
      </c>
      <c r="C15" s="277"/>
      <c r="D15" s="277"/>
      <c r="E15" s="277"/>
      <c r="F15" s="277"/>
      <c r="G15" s="277"/>
      <c r="H15" s="277"/>
      <c r="I15" s="277"/>
    </row>
    <row r="16" spans="1:9" s="57" customFormat="1">
      <c r="A16" s="217">
        <v>1</v>
      </c>
      <c r="B16" s="231" t="s">
        <v>114</v>
      </c>
      <c r="C16" s="231" t="s">
        <v>249</v>
      </c>
      <c r="D16" s="231" t="s">
        <v>125</v>
      </c>
      <c r="E16" s="230" t="s">
        <v>104</v>
      </c>
      <c r="F16" s="233">
        <f>G16/10.764</f>
        <v>26204.384986993686</v>
      </c>
      <c r="G16" s="233">
        <v>282064</v>
      </c>
      <c r="H16" s="215"/>
      <c r="I16" s="178" t="s">
        <v>321</v>
      </c>
    </row>
    <row r="17" spans="1:9" s="26" customFormat="1" ht="14.25">
      <c r="A17" s="217"/>
      <c r="B17" s="278" t="s">
        <v>84</v>
      </c>
      <c r="C17" s="278"/>
      <c r="D17" s="278"/>
      <c r="E17" s="278"/>
      <c r="F17" s="93">
        <f>SUM(F16:F16)</f>
        <v>26204.384986993686</v>
      </c>
      <c r="G17" s="74">
        <f>SUM(G16:G16)</f>
        <v>282064</v>
      </c>
      <c r="H17" s="74"/>
      <c r="I17" s="99"/>
    </row>
    <row r="18" spans="1:9" s="57" customFormat="1" ht="20.25">
      <c r="A18" s="174"/>
      <c r="B18" s="277" t="s">
        <v>130</v>
      </c>
      <c r="C18" s="277"/>
      <c r="D18" s="277"/>
      <c r="E18" s="277"/>
      <c r="F18" s="277"/>
      <c r="G18" s="277"/>
      <c r="H18" s="277"/>
      <c r="I18" s="277"/>
    </row>
    <row r="19" spans="1:9" s="26" customFormat="1" ht="14.25">
      <c r="A19" s="217"/>
      <c r="B19" s="218"/>
      <c r="C19" s="218"/>
      <c r="D19" s="218"/>
      <c r="E19" s="217"/>
      <c r="F19" s="215"/>
      <c r="G19" s="215"/>
      <c r="H19" s="215"/>
      <c r="I19" s="99"/>
    </row>
    <row r="20" spans="1:9" s="26" customFormat="1" ht="14.25">
      <c r="A20" s="217"/>
      <c r="B20" s="279" t="s">
        <v>84</v>
      </c>
      <c r="C20" s="280"/>
      <c r="D20" s="280"/>
      <c r="E20" s="281"/>
      <c r="F20" s="100">
        <f>SUM(F19:F19)</f>
        <v>0</v>
      </c>
      <c r="G20" s="100">
        <f>SUM(G19:G19)</f>
        <v>0</v>
      </c>
      <c r="H20" s="100"/>
      <c r="I20" s="99"/>
    </row>
    <row r="21" spans="1:9" s="57" customFormat="1" ht="20.25">
      <c r="A21" s="174"/>
      <c r="B21" s="277" t="s">
        <v>172</v>
      </c>
      <c r="C21" s="290"/>
      <c r="D21" s="277"/>
      <c r="E21" s="277"/>
      <c r="F21" s="277"/>
      <c r="G21" s="277"/>
      <c r="H21" s="277"/>
      <c r="I21" s="277"/>
    </row>
    <row r="22" spans="1:9" s="26" customFormat="1" ht="12.75" customHeight="1">
      <c r="A22" s="217">
        <v>1</v>
      </c>
      <c r="B22" s="101"/>
      <c r="C22" s="102"/>
      <c r="D22" s="103"/>
      <c r="E22" s="104"/>
      <c r="F22" s="105"/>
      <c r="G22" s="106"/>
      <c r="H22" s="106"/>
      <c r="I22" s="107"/>
    </row>
    <row r="23" spans="1:9" s="26" customFormat="1" ht="14.25">
      <c r="A23" s="217"/>
      <c r="B23" s="285" t="s">
        <v>84</v>
      </c>
      <c r="C23" s="286"/>
      <c r="D23" s="286"/>
      <c r="E23" s="287"/>
      <c r="F23" s="108">
        <f>SUM(F22:F22)</f>
        <v>0</v>
      </c>
      <c r="G23" s="100">
        <f>SUM(G22:G22)</f>
        <v>0</v>
      </c>
      <c r="H23" s="100"/>
      <c r="I23" s="99"/>
    </row>
    <row r="24" spans="1:9" s="57" customFormat="1" ht="20.25">
      <c r="A24" s="174"/>
      <c r="B24" s="277" t="s">
        <v>131</v>
      </c>
      <c r="C24" s="277"/>
      <c r="D24" s="277"/>
      <c r="E24" s="277"/>
      <c r="F24" s="277"/>
      <c r="G24" s="277"/>
      <c r="H24" s="277"/>
      <c r="I24" s="277"/>
    </row>
    <row r="25" spans="1:9" s="26" customFormat="1" ht="14.25">
      <c r="A25" s="217">
        <v>1</v>
      </c>
      <c r="B25" s="218"/>
      <c r="C25" s="218"/>
      <c r="D25" s="218"/>
      <c r="E25" s="217"/>
      <c r="F25" s="215"/>
      <c r="G25" s="196"/>
      <c r="H25" s="196"/>
      <c r="I25" s="178"/>
    </row>
    <row r="26" spans="1:9" s="26" customFormat="1" ht="14.25">
      <c r="A26" s="217"/>
      <c r="B26" s="278" t="s">
        <v>84</v>
      </c>
      <c r="C26" s="278"/>
      <c r="D26" s="278"/>
      <c r="E26" s="278"/>
      <c r="F26" s="100">
        <f>SUM(F25:F25)</f>
        <v>0</v>
      </c>
      <c r="G26" s="74">
        <f>SUM(G25:G25)</f>
        <v>0</v>
      </c>
      <c r="H26" s="74"/>
      <c r="I26" s="99"/>
    </row>
    <row r="27" spans="1:9" s="57" customFormat="1" ht="20.25">
      <c r="A27" s="174"/>
      <c r="B27" s="277" t="s">
        <v>105</v>
      </c>
      <c r="C27" s="277"/>
      <c r="D27" s="277"/>
      <c r="E27" s="277"/>
      <c r="F27" s="277"/>
      <c r="G27" s="277"/>
      <c r="H27" s="277"/>
      <c r="I27" s="277"/>
    </row>
    <row r="28" spans="1:9" s="57" customFormat="1">
      <c r="A28" s="217"/>
      <c r="B28" s="218"/>
      <c r="C28" s="218"/>
      <c r="D28" s="218"/>
      <c r="E28" s="217"/>
      <c r="F28" s="215"/>
      <c r="G28" s="215"/>
      <c r="H28" s="109"/>
      <c r="I28" s="107"/>
    </row>
    <row r="29" spans="1:9" s="26" customFormat="1" ht="14.25">
      <c r="A29" s="217"/>
      <c r="B29" s="278" t="s">
        <v>84</v>
      </c>
      <c r="C29" s="278"/>
      <c r="D29" s="278"/>
      <c r="E29" s="278"/>
      <c r="F29" s="74">
        <f>SUM(F28:F28)</f>
        <v>0</v>
      </c>
      <c r="G29" s="74">
        <f>SUM(G28:G28)</f>
        <v>0</v>
      </c>
      <c r="H29" s="74"/>
      <c r="I29" s="99"/>
    </row>
    <row r="30" spans="1:9" s="57" customFormat="1" ht="20.25">
      <c r="A30" s="174"/>
      <c r="B30" s="277" t="s">
        <v>136</v>
      </c>
      <c r="C30" s="277"/>
      <c r="D30" s="277"/>
      <c r="E30" s="277"/>
      <c r="F30" s="277"/>
      <c r="G30" s="277"/>
      <c r="H30" s="277"/>
      <c r="I30" s="277"/>
    </row>
    <row r="31" spans="1:9" s="194" customFormat="1" ht="14.25">
      <c r="A31" s="217"/>
      <c r="B31" s="218"/>
      <c r="C31" s="218"/>
      <c r="D31" s="218"/>
      <c r="E31" s="215"/>
      <c r="F31" s="215"/>
      <c r="G31" s="183"/>
      <c r="H31" s="178"/>
      <c r="I31" s="217"/>
    </row>
    <row r="32" spans="1:9" s="26" customFormat="1" ht="14.25">
      <c r="A32" s="217"/>
      <c r="B32" s="279" t="s">
        <v>84</v>
      </c>
      <c r="C32" s="280"/>
      <c r="D32" s="280"/>
      <c r="E32" s="281"/>
      <c r="F32" s="100">
        <f>SUM(F31:F31)</f>
        <v>0</v>
      </c>
      <c r="G32" s="74">
        <f>SUM(G31:G31)</f>
        <v>0</v>
      </c>
      <c r="H32" s="111"/>
      <c r="I32" s="99"/>
    </row>
    <row r="33" spans="1:11" s="57" customFormat="1" ht="20.25">
      <c r="A33" s="174"/>
      <c r="B33" s="277" t="s">
        <v>85</v>
      </c>
      <c r="C33" s="277"/>
      <c r="D33" s="277"/>
      <c r="E33" s="277"/>
      <c r="F33" s="277"/>
      <c r="G33" s="277"/>
      <c r="H33" s="277"/>
      <c r="I33" s="277"/>
    </row>
    <row r="34" spans="1:11" s="57" customFormat="1">
      <c r="A34" s="217">
        <v>1</v>
      </c>
      <c r="B34" s="231" t="s">
        <v>86</v>
      </c>
      <c r="C34" s="231" t="s">
        <v>495</v>
      </c>
      <c r="D34" s="231" t="s">
        <v>103</v>
      </c>
      <c r="E34" s="230" t="s">
        <v>104</v>
      </c>
      <c r="F34" s="233">
        <f>G34/10.764</f>
        <v>20289.480490523969</v>
      </c>
      <c r="G34" s="233">
        <v>218395.96799999999</v>
      </c>
      <c r="H34" s="231"/>
      <c r="I34" s="230" t="s">
        <v>321</v>
      </c>
    </row>
    <row r="35" spans="1:11" s="57" customFormat="1">
      <c r="A35" s="210">
        <v>2</v>
      </c>
      <c r="B35" s="231" t="s">
        <v>86</v>
      </c>
      <c r="C35" s="231" t="s">
        <v>249</v>
      </c>
      <c r="D35" s="231" t="s">
        <v>103</v>
      </c>
      <c r="E35" s="230" t="s">
        <v>104</v>
      </c>
      <c r="F35" s="233">
        <f>G35/10.764</f>
        <v>5562.8019323671497</v>
      </c>
      <c r="G35" s="233">
        <v>59878</v>
      </c>
      <c r="H35" s="231"/>
      <c r="I35" s="230" t="s">
        <v>321</v>
      </c>
    </row>
    <row r="36" spans="1:11" s="26" customFormat="1" ht="14.25">
      <c r="A36" s="210"/>
      <c r="B36" s="282" t="s">
        <v>84</v>
      </c>
      <c r="C36" s="283"/>
      <c r="D36" s="283"/>
      <c r="E36" s="284"/>
      <c r="F36" s="93">
        <f>SUM(F34:F35)</f>
        <v>25852.282422891119</v>
      </c>
      <c r="G36" s="94">
        <f>SUM(G34:G35)</f>
        <v>278273.96799999999</v>
      </c>
      <c r="H36" s="111"/>
      <c r="I36" s="99"/>
    </row>
    <row r="37" spans="1:11" s="57" customFormat="1" ht="18">
      <c r="A37" s="90"/>
      <c r="B37" s="112"/>
      <c r="C37" s="113"/>
      <c r="D37" s="113"/>
      <c r="E37" s="113" t="s">
        <v>84</v>
      </c>
      <c r="F37" s="114">
        <f>F11+F14+F17+F20+F23+F26+F29+F32+F36</f>
        <v>132384.61241174286</v>
      </c>
      <c r="G37" s="114">
        <f>G11+G14+G17+G20+G23+G26+G29+G32+G36</f>
        <v>1424987.9679999999</v>
      </c>
      <c r="H37" s="114"/>
      <c r="I37" s="115"/>
      <c r="K37" s="241"/>
    </row>
    <row r="39" spans="1:11">
      <c r="G39" s="88"/>
    </row>
    <row r="40" spans="1:11">
      <c r="G40" s="88"/>
    </row>
    <row r="41" spans="1:11">
      <c r="G41" s="88"/>
    </row>
  </sheetData>
  <autoFilter ref="A4:I18" xr:uid="{730A3079-73D7-4EFC-9C97-F444DB0FFBD8}"/>
  <mergeCells count="20">
    <mergeCell ref="B24:I24"/>
    <mergeCell ref="B26:E26"/>
    <mergeCell ref="B23:E23"/>
    <mergeCell ref="B1:I1"/>
    <mergeCell ref="B2:I2"/>
    <mergeCell ref="B5:I5"/>
    <mergeCell ref="B14:E14"/>
    <mergeCell ref="B15:I15"/>
    <mergeCell ref="B17:E17"/>
    <mergeCell ref="B18:I18"/>
    <mergeCell ref="B20:E20"/>
    <mergeCell ref="B21:I21"/>
    <mergeCell ref="B11:E11"/>
    <mergeCell ref="B12:I12"/>
    <mergeCell ref="B27:I27"/>
    <mergeCell ref="B29:E29"/>
    <mergeCell ref="B30:I30"/>
    <mergeCell ref="B32:E32"/>
    <mergeCell ref="B36:E36"/>
    <mergeCell ref="B33:I33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1C8B-BA0D-4DD2-A0D1-30FAB4210390}">
  <dimension ref="A1:P11"/>
  <sheetViews>
    <sheetView workbookViewId="0">
      <selection activeCell="H8" sqref="H8"/>
    </sheetView>
  </sheetViews>
  <sheetFormatPr baseColWidth="10" defaultColWidth="11.42578125" defaultRowHeight="15"/>
  <cols>
    <col min="1" max="1" width="3" customWidth="1"/>
    <col min="2" max="2" width="17.7109375" customWidth="1"/>
    <col min="3" max="3" width="20.140625" customWidth="1"/>
    <col min="4" max="4" width="33.5703125" customWidth="1"/>
    <col min="5" max="5" width="19.28515625" customWidth="1"/>
    <col min="6" max="6" width="15.28515625" customWidth="1"/>
    <col min="7" max="8" width="14.5703125" customWidth="1"/>
    <col min="9" max="9" width="6.7109375" customWidth="1"/>
    <col min="10" max="10" width="13.5703125" customWidth="1"/>
    <col min="11" max="11" width="16" customWidth="1"/>
    <col min="12" max="12" width="43.7109375" customWidth="1"/>
    <col min="13" max="13" width="9.42578125" customWidth="1"/>
    <col min="14" max="14" width="7.7109375" customWidth="1"/>
  </cols>
  <sheetData>
    <row r="1" spans="1:16" s="57" customFormat="1" ht="22.5">
      <c r="A1" s="89"/>
      <c r="B1" s="288" t="s">
        <v>0</v>
      </c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89"/>
      <c r="P1" s="89"/>
    </row>
    <row r="2" spans="1:16" s="57" customFormat="1" ht="15.75" customHeight="1">
      <c r="A2" s="89"/>
      <c r="B2" s="266" t="s">
        <v>322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89"/>
      <c r="P2" s="89"/>
    </row>
    <row r="3" spans="1:16" s="3" customFormat="1" ht="13.5">
      <c r="A3" s="116"/>
      <c r="B3" s="87" t="s">
        <v>2</v>
      </c>
      <c r="C3" s="64" t="s">
        <v>323</v>
      </c>
      <c r="D3" s="64" t="s">
        <v>178</v>
      </c>
      <c r="E3" s="64" t="s">
        <v>324</v>
      </c>
      <c r="F3" s="64" t="s">
        <v>325</v>
      </c>
      <c r="G3" s="64" t="s">
        <v>326</v>
      </c>
      <c r="H3" s="64" t="s">
        <v>327</v>
      </c>
      <c r="I3" s="64" t="s">
        <v>182</v>
      </c>
      <c r="J3" s="64" t="s">
        <v>183</v>
      </c>
      <c r="K3" s="65" t="s">
        <v>185</v>
      </c>
      <c r="L3" s="65" t="s">
        <v>10</v>
      </c>
      <c r="M3" s="65" t="s">
        <v>186</v>
      </c>
      <c r="N3" s="65" t="s">
        <v>328</v>
      </c>
    </row>
    <row r="4" spans="1:16" s="44" customFormat="1" ht="13.5">
      <c r="A4" s="174"/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117"/>
      <c r="M4" s="117"/>
      <c r="N4" s="117"/>
      <c r="O4" s="89"/>
      <c r="P4" s="89"/>
    </row>
    <row r="5" spans="1:16" s="23" customFormat="1" ht="13.5">
      <c r="A5" s="222">
        <v>1</v>
      </c>
      <c r="B5" s="222" t="s">
        <v>13</v>
      </c>
      <c r="C5" s="222" t="s">
        <v>411</v>
      </c>
      <c r="D5" s="222" t="s">
        <v>31</v>
      </c>
      <c r="E5" s="46" t="s">
        <v>236</v>
      </c>
      <c r="F5" s="118" t="s">
        <v>476</v>
      </c>
      <c r="G5" s="118">
        <f>H5/10.764</f>
        <v>40145.299145299148</v>
      </c>
      <c r="H5" s="118">
        <v>432124</v>
      </c>
      <c r="I5" s="119" t="s">
        <v>477</v>
      </c>
      <c r="J5" s="120" t="s">
        <v>244</v>
      </c>
      <c r="K5" s="118" t="s">
        <v>193</v>
      </c>
      <c r="L5" s="120"/>
      <c r="M5" s="120" t="s">
        <v>195</v>
      </c>
      <c r="N5" s="120"/>
      <c r="O5" s="121"/>
      <c r="P5" s="122"/>
    </row>
    <row r="6" spans="1:16" s="214" customFormat="1" ht="13.5">
      <c r="A6" s="222">
        <v>2</v>
      </c>
      <c r="B6" s="222" t="s">
        <v>252</v>
      </c>
      <c r="C6" s="222" t="s">
        <v>513</v>
      </c>
      <c r="D6" s="222" t="s">
        <v>128</v>
      </c>
      <c r="E6" s="46" t="s">
        <v>236</v>
      </c>
      <c r="F6" s="118" t="s">
        <v>476</v>
      </c>
      <c r="G6" s="118">
        <f>H6/10.764</f>
        <v>30000.000000000004</v>
      </c>
      <c r="H6" s="118">
        <v>322920</v>
      </c>
      <c r="I6" s="119" t="s">
        <v>479</v>
      </c>
      <c r="J6" s="120" t="s">
        <v>201</v>
      </c>
      <c r="K6" s="118" t="s">
        <v>514</v>
      </c>
      <c r="L6" s="120"/>
      <c r="M6" s="120" t="s">
        <v>195</v>
      </c>
      <c r="N6" s="120"/>
      <c r="O6" s="121"/>
      <c r="P6" s="122"/>
    </row>
    <row r="7" spans="1:16" s="214" customFormat="1" ht="13.5">
      <c r="A7" s="222">
        <v>3</v>
      </c>
      <c r="B7" s="222" t="s">
        <v>301</v>
      </c>
      <c r="C7" s="222" t="s">
        <v>509</v>
      </c>
      <c r="D7" s="222" t="s">
        <v>303</v>
      </c>
      <c r="E7" s="46" t="s">
        <v>236</v>
      </c>
      <c r="F7" s="118">
        <v>2712819</v>
      </c>
      <c r="G7" s="118" t="s">
        <v>476</v>
      </c>
      <c r="H7" s="118" t="s">
        <v>476</v>
      </c>
      <c r="I7" s="119" t="s">
        <v>506</v>
      </c>
      <c r="J7" s="120" t="s">
        <v>201</v>
      </c>
      <c r="K7" s="118" t="s">
        <v>193</v>
      </c>
      <c r="L7" s="120"/>
      <c r="M7" s="120" t="s">
        <v>195</v>
      </c>
      <c r="N7" s="120"/>
      <c r="O7" s="121"/>
      <c r="P7" s="122"/>
    </row>
    <row r="8" spans="1:16" s="131" customFormat="1" ht="18">
      <c r="A8" s="123"/>
      <c r="B8" s="124"/>
      <c r="C8" s="124"/>
      <c r="D8" s="125"/>
      <c r="E8" s="125" t="s">
        <v>84</v>
      </c>
      <c r="F8" s="126">
        <f>SUM(F5:F7)</f>
        <v>2712819</v>
      </c>
      <c r="G8" s="126"/>
      <c r="H8" s="126">
        <f>SUM(H5:H7)</f>
        <v>755044</v>
      </c>
      <c r="I8" s="127"/>
      <c r="J8" s="125"/>
      <c r="K8" s="128"/>
      <c r="L8" s="129"/>
      <c r="M8" s="129"/>
      <c r="N8" s="129"/>
      <c r="O8" s="130"/>
      <c r="P8" s="130"/>
    </row>
    <row r="10" spans="1:16">
      <c r="A10" s="191"/>
    </row>
    <row r="11" spans="1:16">
      <c r="E11" s="88"/>
    </row>
  </sheetData>
  <mergeCells count="3">
    <mergeCell ref="B1:N1"/>
    <mergeCell ref="B2:N2"/>
    <mergeCell ref="B4:K4"/>
  </mergeCells>
  <pageMargins left="0.70866141732283472" right="0.70866141732283472" top="0.74803149606299213" bottom="0.74803149606299213" header="0.31496062992125984" footer="0.31496062992125984"/>
  <pageSetup paperSize="17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2658-FC51-4D63-8DCC-86999BA32FAE}">
  <dimension ref="A1:Q33"/>
  <sheetViews>
    <sheetView workbookViewId="0">
      <selection activeCell="C6" sqref="C6"/>
    </sheetView>
  </sheetViews>
  <sheetFormatPr baseColWidth="10" defaultColWidth="11.42578125" defaultRowHeight="15"/>
  <cols>
    <col min="1" max="1" width="3" customWidth="1"/>
    <col min="2" max="2" width="17.7109375" customWidth="1"/>
    <col min="3" max="3" width="20.85546875" customWidth="1"/>
    <col min="4" max="4" width="29.7109375" customWidth="1"/>
    <col min="5" max="5" width="21.42578125" customWidth="1"/>
    <col min="6" max="6" width="15.5703125" customWidth="1"/>
    <col min="7" max="7" width="19.28515625" customWidth="1"/>
    <col min="8" max="8" width="23.85546875" customWidth="1"/>
    <col min="9" max="9" width="12.42578125" customWidth="1"/>
    <col min="10" max="10" width="26.140625" customWidth="1"/>
  </cols>
  <sheetData>
    <row r="1" spans="1:17" s="57" customFormat="1" ht="22.5">
      <c r="A1" s="288" t="s">
        <v>0</v>
      </c>
      <c r="B1" s="288"/>
      <c r="C1" s="288"/>
      <c r="D1" s="288"/>
      <c r="E1" s="288"/>
      <c r="F1" s="288"/>
      <c r="G1" s="288"/>
      <c r="H1" s="288"/>
      <c r="I1" s="288"/>
      <c r="J1" s="288"/>
      <c r="K1" s="133"/>
      <c r="L1" s="133"/>
      <c r="M1" s="133"/>
      <c r="N1" s="133"/>
      <c r="O1" s="133"/>
      <c r="P1" s="89"/>
      <c r="Q1" s="89"/>
    </row>
    <row r="2" spans="1:17" s="57" customFormat="1" ht="15.75" customHeight="1">
      <c r="A2" s="289" t="s">
        <v>329</v>
      </c>
      <c r="B2" s="289"/>
      <c r="C2" s="289"/>
      <c r="D2" s="289"/>
      <c r="E2" s="289"/>
      <c r="F2" s="289"/>
      <c r="G2" s="289"/>
      <c r="H2" s="289"/>
      <c r="I2" s="289"/>
      <c r="J2" s="289"/>
      <c r="K2" s="134"/>
      <c r="L2" s="134"/>
      <c r="M2" s="134"/>
      <c r="N2" s="134"/>
      <c r="O2" s="134"/>
      <c r="P2" s="89"/>
      <c r="Q2" s="89"/>
    </row>
    <row r="3" spans="1:17" s="57" customFormat="1">
      <c r="A3" s="89"/>
      <c r="B3" s="89"/>
      <c r="C3" s="89"/>
      <c r="D3" s="89"/>
      <c r="E3" s="89"/>
      <c r="F3" s="89"/>
      <c r="G3" s="89"/>
      <c r="H3" s="89"/>
      <c r="I3" s="89"/>
      <c r="J3" s="89"/>
      <c r="K3" s="135"/>
      <c r="L3" s="89"/>
      <c r="M3" s="89"/>
      <c r="N3" s="89"/>
      <c r="O3" s="89"/>
      <c r="P3" s="89"/>
      <c r="Q3" s="89"/>
    </row>
    <row r="4" spans="1:17" s="3" customFormat="1" ht="27" customHeight="1">
      <c r="A4" s="116"/>
      <c r="B4" s="87" t="s">
        <v>2</v>
      </c>
      <c r="C4" s="64" t="s">
        <v>323</v>
      </c>
      <c r="D4" s="64" t="s">
        <v>178</v>
      </c>
      <c r="E4" s="136" t="s">
        <v>330</v>
      </c>
      <c r="F4" s="64" t="s">
        <v>331</v>
      </c>
      <c r="G4" s="64" t="s">
        <v>332</v>
      </c>
      <c r="H4" s="64" t="s">
        <v>333</v>
      </c>
      <c r="I4" s="65" t="s">
        <v>328</v>
      </c>
      <c r="J4" s="65" t="s">
        <v>10</v>
      </c>
    </row>
    <row r="5" spans="1:17" s="44" customFormat="1" ht="14.25" customHeight="1">
      <c r="A5" s="174"/>
      <c r="B5" s="291"/>
      <c r="C5" s="291"/>
      <c r="D5" s="291"/>
      <c r="E5" s="291"/>
      <c r="F5" s="291"/>
      <c r="G5" s="291"/>
      <c r="H5" s="291"/>
      <c r="I5" s="291"/>
      <c r="J5" s="137"/>
      <c r="K5" s="89"/>
      <c r="L5" s="89"/>
    </row>
    <row r="6" spans="1:17" s="23" customFormat="1" ht="24" customHeight="1">
      <c r="A6" s="222">
        <v>1</v>
      </c>
      <c r="B6" s="213" t="s">
        <v>301</v>
      </c>
      <c r="C6" s="217" t="s">
        <v>317</v>
      </c>
      <c r="D6" s="217" t="s">
        <v>334</v>
      </c>
      <c r="E6" s="215">
        <v>1433</v>
      </c>
      <c r="F6" s="215">
        <v>77.89</v>
      </c>
      <c r="G6" s="215">
        <v>1355</v>
      </c>
      <c r="H6" s="215">
        <v>78</v>
      </c>
      <c r="I6" s="138">
        <v>60</v>
      </c>
      <c r="J6" s="139" t="s">
        <v>335</v>
      </c>
      <c r="K6" s="121"/>
      <c r="L6" s="122"/>
      <c r="M6" s="214"/>
      <c r="N6" s="214"/>
      <c r="O6" s="214"/>
      <c r="P6" s="214"/>
      <c r="Q6" s="214"/>
    </row>
    <row r="7" spans="1:17" s="179" customFormat="1" ht="24" customHeight="1">
      <c r="A7" s="222">
        <v>2</v>
      </c>
      <c r="B7" s="213" t="s">
        <v>114</v>
      </c>
      <c r="C7" s="217" t="s">
        <v>120</v>
      </c>
      <c r="D7" s="217" t="s">
        <v>336</v>
      </c>
      <c r="E7" s="215">
        <v>19</v>
      </c>
      <c r="F7" s="215"/>
      <c r="G7" s="215">
        <v>19</v>
      </c>
      <c r="H7" s="215">
        <v>19</v>
      </c>
      <c r="I7" s="138"/>
      <c r="J7" s="139"/>
      <c r="K7" s="121"/>
      <c r="L7" s="122"/>
      <c r="M7" s="214"/>
      <c r="N7" s="214"/>
      <c r="O7" s="214"/>
      <c r="P7" s="214"/>
      <c r="Q7" s="214"/>
    </row>
    <row r="8" spans="1:17" s="23" customFormat="1" ht="13.5">
      <c r="A8" s="222">
        <v>3</v>
      </c>
      <c r="B8" s="213" t="s">
        <v>114</v>
      </c>
      <c r="C8" s="217" t="s">
        <v>117</v>
      </c>
      <c r="D8" s="217" t="s">
        <v>116</v>
      </c>
      <c r="E8" s="132">
        <v>140</v>
      </c>
      <c r="F8" s="215">
        <v>140</v>
      </c>
      <c r="G8" s="215">
        <v>0</v>
      </c>
      <c r="H8" s="215">
        <v>80</v>
      </c>
      <c r="I8" s="138">
        <v>60</v>
      </c>
      <c r="J8" s="217"/>
      <c r="K8" s="121"/>
      <c r="L8" s="122"/>
      <c r="M8" s="214"/>
      <c r="N8" s="214"/>
      <c r="O8" s="214"/>
      <c r="P8" s="214"/>
      <c r="Q8" s="214"/>
    </row>
    <row r="9" spans="1:17" s="23" customFormat="1" ht="13.5">
      <c r="A9" s="222">
        <v>4</v>
      </c>
      <c r="B9" s="213" t="s">
        <v>114</v>
      </c>
      <c r="C9" s="217" t="s">
        <v>337</v>
      </c>
      <c r="D9" s="217" t="s">
        <v>338</v>
      </c>
      <c r="E9" s="215"/>
      <c r="F9" s="217"/>
      <c r="G9" s="215"/>
      <c r="H9" s="215"/>
      <c r="I9" s="138"/>
      <c r="J9" s="217"/>
      <c r="K9" s="121"/>
      <c r="L9" s="122"/>
      <c r="M9" s="214"/>
      <c r="N9" s="214"/>
      <c r="O9" s="214"/>
      <c r="P9" s="214"/>
      <c r="Q9" s="214"/>
    </row>
    <row r="10" spans="1:17" s="23" customFormat="1" ht="13.5">
      <c r="A10" s="222">
        <v>5</v>
      </c>
      <c r="B10" s="213" t="s">
        <v>114</v>
      </c>
      <c r="C10" s="217" t="s">
        <v>337</v>
      </c>
      <c r="D10" s="217" t="s">
        <v>128</v>
      </c>
      <c r="E10" s="215"/>
      <c r="F10" s="217"/>
      <c r="G10" s="215"/>
      <c r="H10" s="215"/>
      <c r="I10" s="138"/>
      <c r="J10" s="217"/>
      <c r="K10" s="121"/>
      <c r="L10" s="122"/>
      <c r="M10" s="214"/>
      <c r="N10" s="214"/>
      <c r="O10" s="214"/>
      <c r="P10" s="214"/>
      <c r="Q10" s="214"/>
    </row>
    <row r="11" spans="1:17" s="23" customFormat="1" ht="13.5">
      <c r="A11" s="222">
        <v>6</v>
      </c>
      <c r="B11" s="213" t="s">
        <v>114</v>
      </c>
      <c r="C11" s="217" t="s">
        <v>339</v>
      </c>
      <c r="D11" s="217" t="s">
        <v>340</v>
      </c>
      <c r="E11" s="215"/>
      <c r="F11" s="217"/>
      <c r="G11" s="215"/>
      <c r="H11" s="215"/>
      <c r="I11" s="138"/>
      <c r="J11" s="217"/>
      <c r="K11" s="121"/>
      <c r="L11" s="122"/>
      <c r="M11" s="214"/>
      <c r="N11" s="214"/>
      <c r="O11" s="214"/>
      <c r="P11" s="214"/>
      <c r="Q11" s="214"/>
    </row>
    <row r="12" spans="1:17" s="23" customFormat="1" ht="13.5">
      <c r="A12" s="213">
        <v>7</v>
      </c>
      <c r="B12" s="213" t="s">
        <v>114</v>
      </c>
      <c r="C12" s="217" t="s">
        <v>341</v>
      </c>
      <c r="D12" s="217" t="s">
        <v>125</v>
      </c>
      <c r="E12" s="80">
        <v>7.5</v>
      </c>
      <c r="F12" s="217"/>
      <c r="G12" s="215"/>
      <c r="H12" s="80">
        <v>7.5</v>
      </c>
      <c r="I12" s="138">
        <v>68</v>
      </c>
      <c r="J12" s="182"/>
      <c r="K12" s="214"/>
      <c r="L12" s="214"/>
      <c r="M12" s="214"/>
      <c r="N12" s="214"/>
      <c r="O12" s="214"/>
      <c r="P12" s="214"/>
      <c r="Q12" s="214"/>
    </row>
    <row r="13" spans="1:17" s="23" customFormat="1" ht="13.5">
      <c r="A13" s="213">
        <v>8</v>
      </c>
      <c r="B13" s="213" t="s">
        <v>13</v>
      </c>
      <c r="C13" s="217" t="s">
        <v>341</v>
      </c>
      <c r="D13" s="217" t="s">
        <v>342</v>
      </c>
      <c r="E13" s="80">
        <v>3.9</v>
      </c>
      <c r="F13" s="217"/>
      <c r="G13" s="80">
        <v>3.9</v>
      </c>
      <c r="H13" s="215"/>
      <c r="I13" s="138"/>
      <c r="J13" s="182" t="s">
        <v>343</v>
      </c>
      <c r="K13" s="214"/>
      <c r="L13" s="214"/>
      <c r="M13" s="214"/>
      <c r="N13" s="214"/>
      <c r="O13" s="214"/>
      <c r="P13" s="214"/>
      <c r="Q13" s="214"/>
    </row>
    <row r="14" spans="1:17" s="23" customFormat="1" ht="13.5">
      <c r="A14" s="213">
        <v>9</v>
      </c>
      <c r="B14" s="213" t="s">
        <v>13</v>
      </c>
      <c r="C14" s="217" t="s">
        <v>341</v>
      </c>
      <c r="D14" s="217" t="s">
        <v>344</v>
      </c>
      <c r="E14" s="215" t="s">
        <v>345</v>
      </c>
      <c r="F14" s="217"/>
      <c r="G14" s="215"/>
      <c r="H14" s="215" t="s">
        <v>345</v>
      </c>
      <c r="I14" s="138">
        <v>110</v>
      </c>
      <c r="J14" s="182"/>
      <c r="K14" s="214"/>
      <c r="L14" s="214"/>
      <c r="M14" s="214"/>
      <c r="N14" s="214"/>
      <c r="O14" s="214"/>
      <c r="P14" s="214"/>
      <c r="Q14" s="214"/>
    </row>
    <row r="15" spans="1:17" s="23" customFormat="1" ht="13.5">
      <c r="A15" s="222">
        <v>10</v>
      </c>
      <c r="B15" s="213" t="s">
        <v>13</v>
      </c>
      <c r="C15" s="217" t="s">
        <v>20</v>
      </c>
      <c r="D15" s="217" t="s">
        <v>19</v>
      </c>
      <c r="E15" s="215">
        <v>27</v>
      </c>
      <c r="F15" s="217">
        <v>2.2999999999999998</v>
      </c>
      <c r="G15" s="215">
        <v>24</v>
      </c>
      <c r="H15" s="215"/>
      <c r="I15" s="138"/>
      <c r="J15" s="182"/>
      <c r="K15" s="214"/>
      <c r="L15" s="214"/>
      <c r="M15" s="214"/>
      <c r="N15" s="214"/>
      <c r="O15" s="214"/>
      <c r="P15" s="214"/>
      <c r="Q15" s="214"/>
    </row>
    <row r="16" spans="1:17" s="23" customFormat="1" ht="13.5">
      <c r="A16" s="222">
        <v>11</v>
      </c>
      <c r="B16" s="213" t="s">
        <v>13</v>
      </c>
      <c r="C16" s="217" t="s">
        <v>41</v>
      </c>
      <c r="D16" s="217" t="s">
        <v>346</v>
      </c>
      <c r="E16" s="118">
        <v>70</v>
      </c>
      <c r="F16" s="120">
        <v>70</v>
      </c>
      <c r="G16" s="118">
        <v>0</v>
      </c>
      <c r="H16" s="118">
        <v>0</v>
      </c>
      <c r="I16" s="140"/>
      <c r="J16" s="182"/>
      <c r="K16" s="214"/>
      <c r="L16" s="214"/>
      <c r="M16" s="214"/>
      <c r="N16" s="214"/>
      <c r="O16" s="214"/>
      <c r="P16" s="214"/>
      <c r="Q16" s="214"/>
    </row>
    <row r="17" spans="1:12" s="23" customFormat="1" ht="13.5">
      <c r="A17" s="222">
        <v>12</v>
      </c>
      <c r="B17" s="213" t="s">
        <v>13</v>
      </c>
      <c r="C17" s="217" t="s">
        <v>32</v>
      </c>
      <c r="D17" s="217" t="s">
        <v>347</v>
      </c>
      <c r="E17" s="118">
        <v>43</v>
      </c>
      <c r="F17" s="120">
        <v>2.6</v>
      </c>
      <c r="G17" s="118">
        <v>40</v>
      </c>
      <c r="H17" s="118">
        <v>40</v>
      </c>
      <c r="I17" s="140"/>
      <c r="J17" s="182"/>
      <c r="K17" s="214"/>
      <c r="L17" s="214"/>
    </row>
    <row r="18" spans="1:12" s="23" customFormat="1" ht="13.5">
      <c r="A18" s="222">
        <v>12</v>
      </c>
      <c r="B18" s="213" t="s">
        <v>348</v>
      </c>
      <c r="C18" s="217" t="s">
        <v>41</v>
      </c>
      <c r="D18" s="217" t="s">
        <v>148</v>
      </c>
      <c r="E18" s="118">
        <v>242</v>
      </c>
      <c r="F18" s="120">
        <v>200</v>
      </c>
      <c r="G18" s="118">
        <v>32</v>
      </c>
      <c r="H18" s="118">
        <v>32</v>
      </c>
      <c r="I18" s="140"/>
      <c r="J18" s="182"/>
      <c r="K18" s="214"/>
      <c r="L18" s="214"/>
    </row>
    <row r="19" spans="1:12" s="23" customFormat="1" ht="13.5">
      <c r="A19" s="222">
        <v>13</v>
      </c>
      <c r="B19" s="213" t="s">
        <v>349</v>
      </c>
      <c r="C19" s="217" t="s">
        <v>41</v>
      </c>
      <c r="D19" s="217" t="s">
        <v>164</v>
      </c>
      <c r="E19" s="118">
        <v>150</v>
      </c>
      <c r="F19" s="120">
        <v>89</v>
      </c>
      <c r="G19" s="118">
        <v>67</v>
      </c>
      <c r="H19" s="118">
        <v>67</v>
      </c>
      <c r="I19" s="140"/>
      <c r="J19" s="182"/>
      <c r="K19" s="214"/>
      <c r="L19" s="214"/>
    </row>
    <row r="20" spans="1:12" s="23" customFormat="1" ht="13.5">
      <c r="A20" s="213">
        <v>14</v>
      </c>
      <c r="B20" s="213" t="s">
        <v>349</v>
      </c>
      <c r="C20" s="217" t="s">
        <v>350</v>
      </c>
      <c r="D20" s="217" t="s">
        <v>350</v>
      </c>
      <c r="E20" s="215">
        <v>2.7</v>
      </c>
      <c r="F20" s="217"/>
      <c r="G20" s="215">
        <v>1</v>
      </c>
      <c r="H20" s="215">
        <v>1.7</v>
      </c>
      <c r="I20" s="138"/>
      <c r="J20" s="182"/>
      <c r="K20" s="214"/>
      <c r="L20" s="214"/>
    </row>
    <row r="21" spans="1:12" s="23" customFormat="1" ht="13.5">
      <c r="A21" s="213">
        <v>15</v>
      </c>
      <c r="B21" s="213" t="s">
        <v>349</v>
      </c>
      <c r="C21" s="217" t="s">
        <v>65</v>
      </c>
      <c r="D21" s="217" t="s">
        <v>351</v>
      </c>
      <c r="E21" s="215">
        <v>40</v>
      </c>
      <c r="F21" s="217"/>
      <c r="G21" s="215">
        <v>40</v>
      </c>
      <c r="H21" s="215">
        <v>40</v>
      </c>
      <c r="I21" s="138"/>
      <c r="J21" s="182"/>
      <c r="K21" s="214"/>
      <c r="L21" s="214"/>
    </row>
    <row r="22" spans="1:12" s="23" customFormat="1" ht="13.5">
      <c r="A22" s="213">
        <v>16</v>
      </c>
      <c r="B22" s="213" t="s">
        <v>86</v>
      </c>
      <c r="C22" s="217" t="s">
        <v>97</v>
      </c>
      <c r="D22" s="217" t="s">
        <v>96</v>
      </c>
      <c r="E22" s="215">
        <v>21</v>
      </c>
      <c r="F22" s="217"/>
      <c r="G22" s="215">
        <v>21</v>
      </c>
      <c r="H22" s="215">
        <v>21</v>
      </c>
      <c r="I22" s="138">
        <v>110</v>
      </c>
      <c r="J22" s="182" t="s">
        <v>352</v>
      </c>
      <c r="K22" s="214"/>
      <c r="L22" s="214"/>
    </row>
    <row r="23" spans="1:12" s="179" customFormat="1" ht="13.5">
      <c r="A23" s="213">
        <v>17</v>
      </c>
      <c r="B23" s="213" t="s">
        <v>353</v>
      </c>
      <c r="C23" s="217" t="s">
        <v>82</v>
      </c>
      <c r="D23" s="217" t="s">
        <v>354</v>
      </c>
      <c r="E23" s="215">
        <v>72</v>
      </c>
      <c r="F23" s="217"/>
      <c r="G23" s="215">
        <v>72</v>
      </c>
      <c r="H23" s="215">
        <v>72</v>
      </c>
      <c r="I23" s="138"/>
      <c r="J23" s="182"/>
      <c r="K23" s="214"/>
      <c r="L23" s="214"/>
    </row>
    <row r="24" spans="1:12" s="23" customFormat="1" ht="13.5">
      <c r="A24" s="222">
        <v>18</v>
      </c>
      <c r="B24" s="213" t="s">
        <v>355</v>
      </c>
      <c r="C24" s="217" t="s">
        <v>356</v>
      </c>
      <c r="D24" s="217" t="s">
        <v>357</v>
      </c>
      <c r="E24" s="215">
        <v>65</v>
      </c>
      <c r="F24" s="217">
        <v>5</v>
      </c>
      <c r="G24" s="215">
        <v>60</v>
      </c>
      <c r="H24" s="215"/>
      <c r="I24" s="138"/>
      <c r="J24" s="182"/>
      <c r="K24" s="214"/>
      <c r="L24" s="214"/>
    </row>
    <row r="25" spans="1:12" s="23" customFormat="1" ht="13.5">
      <c r="A25" s="213">
        <v>19</v>
      </c>
      <c r="B25" s="213" t="s">
        <v>308</v>
      </c>
      <c r="C25" s="217" t="s">
        <v>358</v>
      </c>
      <c r="D25" s="217" t="s">
        <v>359</v>
      </c>
      <c r="E25" s="215">
        <v>100</v>
      </c>
      <c r="F25" s="217">
        <v>0</v>
      </c>
      <c r="G25" s="215">
        <v>100</v>
      </c>
      <c r="H25" s="215">
        <v>100</v>
      </c>
      <c r="I25" s="141"/>
      <c r="J25" s="182"/>
      <c r="K25" s="214"/>
      <c r="L25" s="214"/>
    </row>
    <row r="26" spans="1:12" s="23" customFormat="1" ht="13.5">
      <c r="A26" s="213">
        <v>20</v>
      </c>
      <c r="B26" s="213" t="s">
        <v>308</v>
      </c>
      <c r="C26" s="217" t="s">
        <v>358</v>
      </c>
      <c r="D26" s="217" t="s">
        <v>360</v>
      </c>
      <c r="E26" s="215">
        <v>15</v>
      </c>
      <c r="F26" s="217">
        <v>5</v>
      </c>
      <c r="G26" s="215">
        <v>10</v>
      </c>
      <c r="H26" s="215">
        <v>6</v>
      </c>
      <c r="I26" s="141"/>
      <c r="J26" s="182"/>
      <c r="K26" s="214"/>
      <c r="L26" s="214"/>
    </row>
    <row r="27" spans="1:12" s="23" customFormat="1" ht="13.5">
      <c r="A27" s="213">
        <v>21</v>
      </c>
      <c r="B27" s="213" t="s">
        <v>361</v>
      </c>
      <c r="C27" s="217" t="s">
        <v>358</v>
      </c>
      <c r="D27" s="217" t="s">
        <v>362</v>
      </c>
      <c r="E27" s="215">
        <v>56</v>
      </c>
      <c r="F27" s="217">
        <v>20</v>
      </c>
      <c r="G27" s="215">
        <v>36</v>
      </c>
      <c r="H27" s="215">
        <v>56</v>
      </c>
      <c r="I27" s="141"/>
      <c r="J27" s="182"/>
      <c r="K27" s="214"/>
      <c r="L27" s="214"/>
    </row>
    <row r="28" spans="1:12" s="23" customFormat="1" ht="13.5">
      <c r="A28" s="213">
        <v>22</v>
      </c>
      <c r="B28" s="213" t="s">
        <v>173</v>
      </c>
      <c r="C28" s="217" t="s">
        <v>358</v>
      </c>
      <c r="D28" s="217" t="s">
        <v>363</v>
      </c>
      <c r="E28" s="215">
        <v>40</v>
      </c>
      <c r="F28" s="217">
        <v>50</v>
      </c>
      <c r="G28" s="215">
        <v>40</v>
      </c>
      <c r="H28" s="215">
        <v>15</v>
      </c>
      <c r="I28" s="141"/>
      <c r="J28" s="182"/>
      <c r="K28" s="214"/>
      <c r="L28" s="214"/>
    </row>
    <row r="29" spans="1:12" s="23" customFormat="1" ht="13.5">
      <c r="A29" s="213">
        <v>23</v>
      </c>
      <c r="B29" s="213" t="s">
        <v>173</v>
      </c>
      <c r="C29" s="217" t="s">
        <v>120</v>
      </c>
      <c r="D29" s="217" t="s">
        <v>364</v>
      </c>
      <c r="E29" s="215">
        <v>14.6</v>
      </c>
      <c r="F29" s="217"/>
      <c r="G29" s="215">
        <v>15</v>
      </c>
      <c r="H29" s="215">
        <v>15</v>
      </c>
      <c r="I29" s="138"/>
      <c r="J29" s="182" t="s">
        <v>365</v>
      </c>
      <c r="K29" s="214"/>
      <c r="L29" s="214"/>
    </row>
    <row r="30" spans="1:12" s="131" customFormat="1" ht="18">
      <c r="A30" s="142"/>
      <c r="B30" s="143"/>
      <c r="C30" s="143"/>
      <c r="D30" s="144"/>
      <c r="E30" s="145"/>
      <c r="F30" s="144"/>
      <c r="G30" s="145"/>
      <c r="H30" s="145"/>
      <c r="I30" s="145"/>
      <c r="J30" s="146"/>
      <c r="K30" s="130"/>
      <c r="L30" s="130"/>
    </row>
    <row r="32" spans="1:12">
      <c r="C32" s="132"/>
    </row>
    <row r="33" spans="3:3">
      <c r="C33" s="132"/>
    </row>
  </sheetData>
  <mergeCells count="3">
    <mergeCell ref="A1:J1"/>
    <mergeCell ref="A2:J2"/>
    <mergeCell ref="B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1E5-1042-45A2-B36A-585245E2EFC4}">
  <dimension ref="A1:M36"/>
  <sheetViews>
    <sheetView workbookViewId="0">
      <selection activeCell="A11" sqref="A11"/>
    </sheetView>
  </sheetViews>
  <sheetFormatPr baseColWidth="10" defaultColWidth="11.42578125" defaultRowHeight="15"/>
  <cols>
    <col min="1" max="1" width="34.28515625" customWidth="1"/>
    <col min="2" max="2" width="12" customWidth="1"/>
    <col min="3" max="3" width="8.28515625" customWidth="1"/>
    <col min="5" max="5" width="8.140625" customWidth="1"/>
    <col min="6" max="6" width="12.5703125" customWidth="1"/>
    <col min="7" max="7" width="8.5703125" customWidth="1"/>
    <col min="8" max="8" width="11.5703125" customWidth="1"/>
    <col min="9" max="9" width="8.28515625" customWidth="1"/>
    <col min="10" max="10" width="13.140625" customWidth="1"/>
  </cols>
  <sheetData>
    <row r="1" spans="1:11" ht="15.75" thickBot="1">
      <c r="A1" s="292" t="s">
        <v>366</v>
      </c>
      <c r="B1" s="292"/>
      <c r="C1" s="292"/>
      <c r="D1" s="292"/>
      <c r="E1" s="292"/>
      <c r="F1" s="292"/>
      <c r="G1" s="292"/>
      <c r="H1" s="292"/>
      <c r="I1" s="292"/>
      <c r="J1" s="292"/>
    </row>
    <row r="2" spans="1:11">
      <c r="A2" s="293" t="s">
        <v>367</v>
      </c>
      <c r="B2" s="295" t="s">
        <v>368</v>
      </c>
      <c r="C2" s="296"/>
      <c r="D2" s="297" t="s">
        <v>369</v>
      </c>
      <c r="E2" s="298"/>
      <c r="F2" s="297" t="s">
        <v>370</v>
      </c>
      <c r="G2" s="298"/>
      <c r="H2" s="297" t="s">
        <v>371</v>
      </c>
      <c r="I2" s="298"/>
      <c r="J2" s="147" t="s">
        <v>372</v>
      </c>
    </row>
    <row r="3" spans="1:11" ht="30">
      <c r="A3" s="294"/>
      <c r="B3" s="148" t="s">
        <v>373</v>
      </c>
      <c r="C3" s="148" t="s">
        <v>374</v>
      </c>
      <c r="D3" s="149" t="s">
        <v>373</v>
      </c>
      <c r="E3" s="150" t="s">
        <v>374</v>
      </c>
      <c r="F3" s="149" t="s">
        <v>373</v>
      </c>
      <c r="G3" s="150" t="s">
        <v>374</v>
      </c>
      <c r="H3" s="149" t="s">
        <v>373</v>
      </c>
      <c r="I3" s="150" t="s">
        <v>374</v>
      </c>
      <c r="J3" s="149" t="s">
        <v>373</v>
      </c>
    </row>
    <row r="4" spans="1:11" ht="12.75" customHeight="1">
      <c r="A4" s="151" t="s">
        <v>132</v>
      </c>
      <c r="B4" s="152"/>
      <c r="C4" s="152"/>
      <c r="D4" s="152"/>
      <c r="E4" s="152"/>
      <c r="F4" s="153"/>
      <c r="G4" s="153"/>
      <c r="H4" s="153"/>
      <c r="I4" s="153"/>
      <c r="J4" s="154"/>
    </row>
    <row r="5" spans="1:11">
      <c r="A5" s="155" t="s">
        <v>375</v>
      </c>
      <c r="B5" s="156">
        <v>11005419</v>
      </c>
      <c r="C5" s="157">
        <f>B5/B36</f>
        <v>0.1846116962950286</v>
      </c>
      <c r="D5" s="158">
        <v>11005419</v>
      </c>
      <c r="E5" s="157">
        <f>D5/D36</f>
        <v>0.19411983896432691</v>
      </c>
      <c r="F5" s="158">
        <v>11005419</v>
      </c>
      <c r="G5" s="159">
        <f>F5/F36</f>
        <v>0.19687245815949567</v>
      </c>
      <c r="H5" s="156">
        <f>J5+414169+53382+178300+90928</f>
        <v>13829907</v>
      </c>
      <c r="I5" s="159">
        <f>H5/H36</f>
        <v>0.2484870321963196</v>
      </c>
      <c r="J5" s="156">
        <v>13093128</v>
      </c>
    </row>
    <row r="6" spans="1:11">
      <c r="A6" s="155" t="s">
        <v>117</v>
      </c>
      <c r="B6" s="156">
        <v>6188114</v>
      </c>
      <c r="C6" s="157">
        <f>B6/B36</f>
        <v>0.10380324660124386</v>
      </c>
      <c r="D6" s="158">
        <v>5574956</v>
      </c>
      <c r="E6" s="157">
        <f>D6/D36</f>
        <v>9.833424433483251E-2</v>
      </c>
      <c r="F6" s="158">
        <v>5574956</v>
      </c>
      <c r="G6" s="159">
        <f>F6/F36</f>
        <v>9.9728623858031148E-2</v>
      </c>
      <c r="H6" s="156">
        <v>5574955</v>
      </c>
      <c r="I6" s="159">
        <f>H6/H36</f>
        <v>0.10016726956862637</v>
      </c>
      <c r="J6" s="156">
        <v>5836395</v>
      </c>
    </row>
    <row r="7" spans="1:11">
      <c r="A7" s="155" t="s">
        <v>82</v>
      </c>
      <c r="B7" s="156">
        <f>D7</f>
        <v>3659240</v>
      </c>
      <c r="C7" s="157">
        <f>B7/B36</f>
        <v>6.1382352053167673E-2</v>
      </c>
      <c r="D7" s="158">
        <f>F7</f>
        <v>3659240</v>
      </c>
      <c r="E7" s="157">
        <f>D7/D36</f>
        <v>6.4543756083418863E-2</v>
      </c>
      <c r="F7" s="158">
        <f>H7</f>
        <v>3659240</v>
      </c>
      <c r="G7" s="159">
        <f>F7/F36</f>
        <v>6.5458986504335084E-2</v>
      </c>
      <c r="H7" s="156">
        <f>J7+174240</f>
        <v>3659240</v>
      </c>
      <c r="I7" s="159">
        <f>H7/H36</f>
        <v>6.5746912664999158E-2</v>
      </c>
      <c r="J7" s="156">
        <v>3485000</v>
      </c>
    </row>
    <row r="8" spans="1:11">
      <c r="A8" s="155" t="s">
        <v>376</v>
      </c>
      <c r="B8" s="156">
        <v>4530479</v>
      </c>
      <c r="C8" s="157">
        <f>B8/B36</f>
        <v>7.5997053198883655E-2</v>
      </c>
      <c r="D8" s="158">
        <v>4530479</v>
      </c>
      <c r="E8" s="157">
        <f>D8/D36</f>
        <v>7.9911165027998013E-2</v>
      </c>
      <c r="F8" s="158">
        <v>3867979</v>
      </c>
      <c r="G8" s="159">
        <f>F8/F36</f>
        <v>6.9193052426200927E-2</v>
      </c>
      <c r="H8" s="156">
        <f>J8+501440</f>
        <v>3914630</v>
      </c>
      <c r="I8" s="159">
        <f>H8/H36</f>
        <v>7.0335598847243053E-2</v>
      </c>
      <c r="J8" s="156">
        <v>3413190</v>
      </c>
      <c r="K8" s="88"/>
    </row>
    <row r="9" spans="1:11">
      <c r="A9" s="155" t="s">
        <v>120</v>
      </c>
      <c r="B9" s="156">
        <v>629014</v>
      </c>
      <c r="C9" s="160">
        <f>B9/B36</f>
        <v>1.055146937461637E-2</v>
      </c>
      <c r="D9" s="158">
        <v>413277</v>
      </c>
      <c r="E9" s="157">
        <f>D9/D36</f>
        <v>7.289614751392939E-3</v>
      </c>
      <c r="F9" s="158">
        <v>413277</v>
      </c>
      <c r="G9" s="159">
        <f>F9/F36</f>
        <v>7.3929814840109119E-3</v>
      </c>
      <c r="H9" s="156">
        <f>119997+271497+271500</f>
        <v>662994</v>
      </c>
      <c r="I9" s="159">
        <f>H9/H36</f>
        <v>1.1912257358199641E-2</v>
      </c>
      <c r="J9" s="156">
        <v>2396034</v>
      </c>
    </row>
    <row r="10" spans="1:11">
      <c r="A10" s="155" t="s">
        <v>377</v>
      </c>
      <c r="B10" s="156">
        <v>745267.51</v>
      </c>
      <c r="C10" s="157">
        <f>B10/B36</f>
        <v>1.2501577560533788E-2</v>
      </c>
      <c r="D10" s="158">
        <v>745268</v>
      </c>
      <c r="E10" s="157">
        <f>D10/D36</f>
        <v>1.3145460808467718E-2</v>
      </c>
      <c r="F10" s="158">
        <v>745268</v>
      </c>
      <c r="G10" s="159">
        <f>F10/F36</f>
        <v>1.3331863434514488E-2</v>
      </c>
      <c r="H10" s="161">
        <f>J10+338743+110000</f>
        <v>594743</v>
      </c>
      <c r="I10" s="159">
        <f>H10/H36</f>
        <v>1.0685966506465713E-2</v>
      </c>
      <c r="J10" s="156">
        <v>146000</v>
      </c>
    </row>
    <row r="11" spans="1:11">
      <c r="A11" s="155" t="s">
        <v>378</v>
      </c>
      <c r="B11" s="156">
        <v>2776292</v>
      </c>
      <c r="C11" s="157">
        <f>B11/B36</f>
        <v>4.6571236908864402E-2</v>
      </c>
      <c r="D11" s="158">
        <v>2776292</v>
      </c>
      <c r="E11" s="157">
        <f>D11/D36</f>
        <v>4.8969817138079803E-2</v>
      </c>
      <c r="F11" s="158">
        <v>2776292</v>
      </c>
      <c r="G11" s="159">
        <f>F11/F36</f>
        <v>4.9664209114486463E-2</v>
      </c>
      <c r="H11" s="156">
        <v>2776292</v>
      </c>
      <c r="I11" s="159">
        <f>H11/H36</f>
        <v>4.9882660786539239E-2</v>
      </c>
      <c r="J11" s="156">
        <v>2776292</v>
      </c>
    </row>
    <row r="12" spans="1:11">
      <c r="A12" s="155" t="s">
        <v>140</v>
      </c>
      <c r="B12" s="156">
        <v>1871946</v>
      </c>
      <c r="C12" s="157">
        <f>B12/B36</f>
        <v>3.1401178495129863E-2</v>
      </c>
      <c r="D12" s="156">
        <v>680182</v>
      </c>
      <c r="E12" s="157">
        <f>D12/D36</f>
        <v>1.1997436926884274E-2</v>
      </c>
      <c r="F12" s="158">
        <f>H12</f>
        <v>2463670.69</v>
      </c>
      <c r="G12" s="159">
        <f>F12/F36</f>
        <v>4.4071825419441164E-2</v>
      </c>
      <c r="H12" s="156">
        <f>J12+55973</f>
        <v>2463670.69</v>
      </c>
      <c r="I12" s="159">
        <f>H12/H36</f>
        <v>4.4265678581002672E-2</v>
      </c>
      <c r="J12" s="156">
        <v>2407697.69</v>
      </c>
    </row>
    <row r="13" spans="1:11">
      <c r="A13" s="155" t="s">
        <v>135</v>
      </c>
      <c r="B13" s="156">
        <v>680182</v>
      </c>
      <c r="C13" s="157">
        <f>B13/B36</f>
        <v>1.1409793012818971E-2</v>
      </c>
      <c r="D13" s="156">
        <v>1783488.56</v>
      </c>
      <c r="E13" s="157">
        <f>D13/D36</f>
        <v>3.1458185468624077E-2</v>
      </c>
      <c r="F13" s="158"/>
      <c r="G13" s="159"/>
      <c r="H13" s="156"/>
      <c r="I13" s="159"/>
      <c r="J13" s="156"/>
    </row>
    <row r="14" spans="1:11">
      <c r="A14" s="155" t="s">
        <v>379</v>
      </c>
      <c r="B14" s="156">
        <v>9381470</v>
      </c>
      <c r="C14" s="157">
        <f>B14/B36</f>
        <v>0.15737057266433219</v>
      </c>
      <c r="D14" s="158">
        <v>8632432</v>
      </c>
      <c r="E14" s="157">
        <f>D14/D36</f>
        <v>0.15226374477069002</v>
      </c>
      <c r="F14" s="158">
        <v>8632432</v>
      </c>
      <c r="G14" s="159">
        <f>F14/F36</f>
        <v>0.15442284457635747</v>
      </c>
      <c r="H14" s="156">
        <f>3580640+2000000+120000+132000</f>
        <v>5832640</v>
      </c>
      <c r="I14" s="159">
        <f>H14/H36</f>
        <v>0.10479719086104784</v>
      </c>
      <c r="J14" s="156">
        <v>3208640</v>
      </c>
    </row>
    <row r="15" spans="1:11">
      <c r="A15" s="155" t="s">
        <v>380</v>
      </c>
      <c r="B15" s="156">
        <v>2932725.75</v>
      </c>
      <c r="C15" s="157">
        <f>B15/B36</f>
        <v>4.919535325966326E-2</v>
      </c>
      <c r="D15" s="158">
        <f>F15</f>
        <v>2567301</v>
      </c>
      <c r="E15" s="157">
        <f>D15/D36</f>
        <v>4.528351502954639E-2</v>
      </c>
      <c r="F15" s="158">
        <f>H15</f>
        <v>2567301</v>
      </c>
      <c r="G15" s="159">
        <f>F15/F36</f>
        <v>4.592563524435838E-2</v>
      </c>
      <c r="H15" s="156">
        <f>J15+356370</f>
        <v>2567301</v>
      </c>
      <c r="I15" s="159">
        <f>H15/H36</f>
        <v>4.6127642524613037E-2</v>
      </c>
      <c r="J15" s="156">
        <v>2210931</v>
      </c>
    </row>
    <row r="16" spans="1:11">
      <c r="A16" s="155" t="s">
        <v>16</v>
      </c>
      <c r="B16" s="156">
        <f>D16</f>
        <v>239388</v>
      </c>
      <c r="C16" s="157">
        <f>B16/B36</f>
        <v>4.0156421806997362E-3</v>
      </c>
      <c r="D16" s="158">
        <f>F16</f>
        <v>239388</v>
      </c>
      <c r="E16" s="157">
        <f>D16/D36</f>
        <v>4.2224616809221245E-3</v>
      </c>
      <c r="F16" s="158">
        <f>H16</f>
        <v>239388</v>
      </c>
      <c r="G16" s="159">
        <f>F16/F36</f>
        <v>4.2823361849181158E-3</v>
      </c>
      <c r="H16" s="156">
        <f>J16+149388</f>
        <v>239388</v>
      </c>
      <c r="I16" s="159">
        <f>H16/H36</f>
        <v>4.3011723552018504E-3</v>
      </c>
      <c r="J16" s="156">
        <v>90000</v>
      </c>
    </row>
    <row r="17" spans="1:13">
      <c r="A17" s="155" t="s">
        <v>65</v>
      </c>
      <c r="B17" s="156">
        <v>936310</v>
      </c>
      <c r="C17" s="157">
        <f>B17/B36</f>
        <v>1.5706242293728048E-2</v>
      </c>
      <c r="D17" s="158">
        <v>936310</v>
      </c>
      <c r="E17" s="157">
        <f>D17/D36</f>
        <v>1.6515168247632273E-2</v>
      </c>
      <c r="F17" s="158">
        <v>936310</v>
      </c>
      <c r="G17" s="159">
        <f>F17/F36</f>
        <v>1.6749353323059973E-2</v>
      </c>
      <c r="H17" s="156">
        <v>936310</v>
      </c>
      <c r="I17" s="159">
        <f>H17/H36</f>
        <v>1.6823026584035308E-2</v>
      </c>
      <c r="J17" s="156">
        <v>936310</v>
      </c>
    </row>
    <row r="18" spans="1:13">
      <c r="A18" s="155" t="s">
        <v>381</v>
      </c>
      <c r="B18" s="156">
        <v>1422697</v>
      </c>
      <c r="C18" s="157">
        <f>B18/B36</f>
        <v>2.386519827040191E-2</v>
      </c>
      <c r="D18" s="158">
        <v>1422697</v>
      </c>
      <c r="E18" s="157">
        <f>D18/D36</f>
        <v>2.5094338755755778E-2</v>
      </c>
      <c r="F18" s="158">
        <v>1422697</v>
      </c>
      <c r="G18" s="159">
        <f>F18/F36</f>
        <v>2.5450176463625782E-2</v>
      </c>
      <c r="H18" s="156">
        <v>1422697</v>
      </c>
      <c r="I18" s="159">
        <f>H18/H36</f>
        <v>2.5562120934335082E-2</v>
      </c>
      <c r="J18" s="156">
        <v>1288793</v>
      </c>
    </row>
    <row r="19" spans="1:13">
      <c r="A19" s="155" t="s">
        <v>104</v>
      </c>
      <c r="B19" s="156">
        <f>D19</f>
        <v>1711319</v>
      </c>
      <c r="C19" s="157">
        <f>B19/B36</f>
        <v>2.8706721978682688E-2</v>
      </c>
      <c r="D19" s="158">
        <f>F19</f>
        <v>1711319</v>
      </c>
      <c r="E19" s="157">
        <f>D19/D36</f>
        <v>3.0185217727429818E-2</v>
      </c>
      <c r="F19" s="158">
        <f>H19</f>
        <v>1711319</v>
      </c>
      <c r="G19" s="159">
        <f>F19/F36</f>
        <v>3.0613244095935823E-2</v>
      </c>
      <c r="H19" s="88">
        <f>J19+692868</f>
        <v>1711319</v>
      </c>
      <c r="I19" s="159">
        <f>H19/H36</f>
        <v>3.0747898698897502E-2</v>
      </c>
      <c r="J19" s="156">
        <v>1018451</v>
      </c>
      <c r="L19" s="88"/>
    </row>
    <row r="20" spans="1:13">
      <c r="A20" s="155" t="s">
        <v>382</v>
      </c>
      <c r="B20" s="156">
        <f>D20</f>
        <v>890231</v>
      </c>
      <c r="C20" s="157">
        <f>B20/B36</f>
        <v>1.4933284684973794E-2</v>
      </c>
      <c r="D20" s="158">
        <f>F20</f>
        <v>890231</v>
      </c>
      <c r="E20" s="157">
        <f>D20/D36</f>
        <v>1.5702400641088878E-2</v>
      </c>
      <c r="F20" s="158">
        <f>H20</f>
        <v>890231</v>
      </c>
      <c r="G20" s="159">
        <f>F20/F36</f>
        <v>1.5925060672363857E-2</v>
      </c>
      <c r="H20" s="156">
        <f>J20+51667</f>
        <v>890231</v>
      </c>
      <c r="I20" s="159">
        <f>H20/H36</f>
        <v>1.599510822156373E-2</v>
      </c>
      <c r="J20" s="156">
        <v>838564</v>
      </c>
    </row>
    <row r="21" spans="1:13">
      <c r="A21" s="155" t="s">
        <v>146</v>
      </c>
      <c r="B21" s="156">
        <v>255062</v>
      </c>
      <c r="C21" s="157">
        <f>B21/B36</f>
        <v>4.2785675384465222E-3</v>
      </c>
      <c r="D21" s="158">
        <v>255062</v>
      </c>
      <c r="E21" s="157">
        <f>D21/D36</f>
        <v>4.4989286065273068E-3</v>
      </c>
      <c r="F21" s="158">
        <v>255062</v>
      </c>
      <c r="G21" s="159">
        <f>F21/F36</f>
        <v>4.5627234113555584E-3</v>
      </c>
      <c r="H21" s="156">
        <v>255062</v>
      </c>
      <c r="I21" s="159">
        <f>H21/H36</f>
        <v>4.5827928854516283E-3</v>
      </c>
      <c r="J21" s="156">
        <v>255062</v>
      </c>
    </row>
    <row r="22" spans="1:13">
      <c r="A22" s="155" t="s">
        <v>383</v>
      </c>
      <c r="B22" s="156">
        <v>185000</v>
      </c>
      <c r="C22" s="157">
        <f>B22/B36</f>
        <v>3.1033042735201899E-3</v>
      </c>
      <c r="D22" s="158">
        <v>185000</v>
      </c>
      <c r="E22" s="157">
        <f>D22/D36</f>
        <v>3.2631352071557183E-3</v>
      </c>
      <c r="F22" s="158">
        <v>185000</v>
      </c>
      <c r="G22" s="159">
        <f>F22/F36</f>
        <v>3.3094064623533821E-3</v>
      </c>
      <c r="H22" s="156">
        <v>185000</v>
      </c>
      <c r="I22" s="159">
        <f>H22/H36</f>
        <v>3.3239631297823711E-3</v>
      </c>
      <c r="J22" s="156">
        <v>185000</v>
      </c>
    </row>
    <row r="23" spans="1:13">
      <c r="A23" s="155" t="s">
        <v>384</v>
      </c>
      <c r="B23" s="156">
        <v>5695059.9800000004</v>
      </c>
      <c r="C23" s="157">
        <f>B23/B36</f>
        <v>9.5532453912907073E-2</v>
      </c>
      <c r="D23" s="158">
        <f>F23</f>
        <v>5000940</v>
      </c>
      <c r="E23" s="157">
        <f>D23/D36</f>
        <v>8.8209423691207128E-2</v>
      </c>
      <c r="F23" s="158">
        <f>H23</f>
        <v>5000940</v>
      </c>
      <c r="G23" s="159">
        <f>F23/F36</f>
        <v>8.9460233264008232E-2</v>
      </c>
      <c r="H23" s="156">
        <f>J23+J31+1011425</f>
        <v>5000940</v>
      </c>
      <c r="I23" s="159">
        <f>H23/H36</f>
        <v>8.9853730671642443E-2</v>
      </c>
      <c r="J23" s="156">
        <v>3599515</v>
      </c>
    </row>
    <row r="24" spans="1:13">
      <c r="A24" s="155" t="s">
        <v>385</v>
      </c>
      <c r="B24" s="158">
        <v>416640</v>
      </c>
      <c r="C24" s="157">
        <f>B24/B36</f>
        <v>6.9889767163213616E-3</v>
      </c>
      <c r="D24" s="158">
        <v>416640</v>
      </c>
      <c r="E24" s="157">
        <f>D24/D36</f>
        <v>7.3489332578884244E-3</v>
      </c>
      <c r="F24" s="158">
        <v>416640</v>
      </c>
      <c r="G24" s="159">
        <f>F24/F36</f>
        <v>7.4531411268914226E-3</v>
      </c>
      <c r="H24" s="156">
        <v>416640</v>
      </c>
      <c r="I24" s="159">
        <f>H24/H36</f>
        <v>7.4859243156352824E-3</v>
      </c>
      <c r="J24" s="156">
        <v>416640</v>
      </c>
    </row>
    <row r="25" spans="1:13">
      <c r="A25" s="155" t="s">
        <v>386</v>
      </c>
      <c r="B25" s="158">
        <v>186000</v>
      </c>
      <c r="C25" s="157">
        <f>B25/B36</f>
        <v>3.1200788912148932E-3</v>
      </c>
      <c r="D25" s="158">
        <v>186000</v>
      </c>
      <c r="E25" s="157">
        <f>D25/D36</f>
        <v>3.2807737758430463E-3</v>
      </c>
      <c r="F25" s="158">
        <v>186000</v>
      </c>
      <c r="G25" s="159">
        <f>F25/F36</f>
        <v>3.3272951459336706E-3</v>
      </c>
      <c r="H25" s="156">
        <f>J25+74670</f>
        <v>180733</v>
      </c>
      <c r="I25" s="159">
        <f>H25/H36</f>
        <v>3.2472963693781476E-3</v>
      </c>
      <c r="J25" s="156">
        <v>106063</v>
      </c>
    </row>
    <row r="26" spans="1:13">
      <c r="A26" s="155" t="s">
        <v>387</v>
      </c>
      <c r="B26" s="158">
        <v>250738</v>
      </c>
      <c r="C26" s="157">
        <f>B26/B36</f>
        <v>4.2060340915346236E-3</v>
      </c>
      <c r="D26" s="158">
        <v>250738</v>
      </c>
      <c r="E26" s="157">
        <f>D26/D36</f>
        <v>4.4226594355232995E-3</v>
      </c>
      <c r="F26" s="158">
        <v>250738</v>
      </c>
      <c r="G26" s="159">
        <f>F26/F36</f>
        <v>4.4853727435543913E-3</v>
      </c>
      <c r="H26" s="156">
        <v>250738</v>
      </c>
      <c r="I26" s="159">
        <f>H26/H36</f>
        <v>4.5051019850560663E-3</v>
      </c>
      <c r="J26" s="156">
        <v>250738</v>
      </c>
    </row>
    <row r="27" spans="1:13">
      <c r="A27" s="155" t="s">
        <v>317</v>
      </c>
      <c r="B27" s="158">
        <v>84000</v>
      </c>
      <c r="C27" s="157">
        <f>B27/B36</f>
        <v>1.4090678863551132E-3</v>
      </c>
      <c r="D27" s="158">
        <v>84000</v>
      </c>
      <c r="E27" s="157">
        <f>D27/D36</f>
        <v>1.4816397697355694E-3</v>
      </c>
      <c r="F27" s="158">
        <v>84000</v>
      </c>
      <c r="G27" s="159">
        <f>F27/F36</f>
        <v>1.5026494207442383E-3</v>
      </c>
      <c r="H27" s="156">
        <v>84000</v>
      </c>
      <c r="I27" s="159">
        <f>H27/H36</f>
        <v>1.5092589346038874E-3</v>
      </c>
      <c r="J27" s="162">
        <v>84000</v>
      </c>
    </row>
    <row r="28" spans="1:13">
      <c r="A28" s="155" t="s">
        <v>388</v>
      </c>
      <c r="B28" s="158">
        <v>339992</v>
      </c>
      <c r="C28" s="157">
        <f>B28/B36</f>
        <v>5.7032358192577095E-3</v>
      </c>
      <c r="D28" s="158">
        <v>339992</v>
      </c>
      <c r="E28" s="157">
        <f>D28/D36</f>
        <v>5.9969722451420921E-3</v>
      </c>
      <c r="F28" s="158">
        <v>339992</v>
      </c>
      <c r="G28" s="159">
        <f>F28/F36</f>
        <v>6.0820093078294652E-3</v>
      </c>
      <c r="H28" s="156">
        <f>J28+60900</f>
        <v>331590</v>
      </c>
      <c r="I28" s="159">
        <f>H28/H36</f>
        <v>5.9577996443488457E-3</v>
      </c>
      <c r="J28" s="162">
        <v>270690</v>
      </c>
    </row>
    <row r="29" spans="1:13">
      <c r="A29" s="155" t="s">
        <v>169</v>
      </c>
      <c r="B29" s="158">
        <v>160000</v>
      </c>
      <c r="C29" s="157">
        <f>B29/B36</f>
        <v>2.6839388311525967E-3</v>
      </c>
      <c r="D29" s="158">
        <f>160000</f>
        <v>160000</v>
      </c>
      <c r="E29" s="157">
        <f>D29/D36</f>
        <v>2.822170989972513E-3</v>
      </c>
      <c r="F29" s="158">
        <f>160000</f>
        <v>160000</v>
      </c>
      <c r="G29" s="159">
        <f>F29/F36</f>
        <v>2.8621893728461682E-3</v>
      </c>
      <c r="H29" s="156">
        <f>160000</f>
        <v>160000</v>
      </c>
      <c r="I29" s="159">
        <f>H29/H36</f>
        <v>2.8747789230550236E-3</v>
      </c>
      <c r="J29" s="156">
        <v>160000</v>
      </c>
      <c r="M29" s="163"/>
    </row>
    <row r="30" spans="1:13">
      <c r="A30" s="155" t="s">
        <v>389</v>
      </c>
      <c r="B30" s="158">
        <v>577044</v>
      </c>
      <c r="C30" s="157">
        <f>B30/B36</f>
        <v>9.6796924930226177E-3</v>
      </c>
      <c r="D30" s="158">
        <f>F30</f>
        <v>577044</v>
      </c>
      <c r="E30" s="157">
        <f>D30/D36</f>
        <v>1.0178230229610619E-2</v>
      </c>
      <c r="F30" s="158">
        <f>H30</f>
        <v>577044</v>
      </c>
      <c r="G30" s="159">
        <f>F30/F36</f>
        <v>1.0322557527904027E-2</v>
      </c>
      <c r="H30" s="156">
        <f>J30+226044</f>
        <v>577044</v>
      </c>
      <c r="I30" s="159">
        <f>H30/H36</f>
        <v>1.036796205547102E-2</v>
      </c>
      <c r="J30" s="156">
        <f>117000*3</f>
        <v>351000</v>
      </c>
      <c r="M30" s="163"/>
    </row>
    <row r="31" spans="1:13">
      <c r="A31" s="155" t="s">
        <v>337</v>
      </c>
      <c r="B31" s="158">
        <f>D31</f>
        <v>238767</v>
      </c>
      <c r="C31" s="157">
        <f>B31/B36</f>
        <v>4.0052251431113252E-3</v>
      </c>
      <c r="D31" s="158">
        <f>F31</f>
        <v>238767</v>
      </c>
      <c r="E31" s="157">
        <f>D31/D36</f>
        <v>4.2115081297672942E-3</v>
      </c>
      <c r="F31" s="158">
        <f>H31</f>
        <v>238767</v>
      </c>
      <c r="G31" s="159">
        <f>F31/F36</f>
        <v>4.2712273124147562E-3</v>
      </c>
      <c r="H31" s="156">
        <f>45015+193752</f>
        <v>238767</v>
      </c>
      <c r="I31" s="159">
        <f>H31/H36</f>
        <v>4.2900146195067428E-3</v>
      </c>
      <c r="J31" s="156">
        <v>390000</v>
      </c>
      <c r="M31" s="163"/>
    </row>
    <row r="32" spans="1:13">
      <c r="A32" s="155" t="s">
        <v>108</v>
      </c>
      <c r="B32" s="158">
        <v>823693</v>
      </c>
      <c r="C32" s="157">
        <f>B32/B36</f>
        <v>1.3817135172803597E-2</v>
      </c>
      <c r="D32" s="158">
        <f>F32</f>
        <v>823693</v>
      </c>
      <c r="E32" s="157">
        <f>D32/D36</f>
        <v>1.4528765557771432E-2</v>
      </c>
      <c r="F32" s="158">
        <f>H32</f>
        <v>823693</v>
      </c>
      <c r="G32" s="159">
        <f>F32/F36</f>
        <v>1.4734783444298618E-2</v>
      </c>
      <c r="H32" s="156">
        <f>J32+403693</f>
        <v>823693</v>
      </c>
      <c r="I32" s="159">
        <f>H32/H36</f>
        <v>1.479959547167476E-2</v>
      </c>
      <c r="J32" s="156">
        <v>420000</v>
      </c>
      <c r="M32" s="163"/>
    </row>
    <row r="33" spans="1:13">
      <c r="A33" s="155" t="s">
        <v>390</v>
      </c>
      <c r="B33" s="158">
        <v>336289</v>
      </c>
      <c r="C33" s="157">
        <f>B33/B36</f>
        <v>5.641119409934222E-3</v>
      </c>
      <c r="D33" s="158">
        <f>F33+130180</f>
        <v>336289</v>
      </c>
      <c r="E33" s="157">
        <f>D33/D36</f>
        <v>5.9316566252929151E-3</v>
      </c>
      <c r="F33" s="158">
        <f>H33+130180</f>
        <v>206109</v>
      </c>
      <c r="G33" s="159">
        <f>F33/F36</f>
        <v>3.687018684049693E-3</v>
      </c>
      <c r="H33" s="156">
        <v>75929</v>
      </c>
      <c r="I33" s="159">
        <f>H33/H36</f>
        <v>1.3642443053040307E-3</v>
      </c>
      <c r="J33" s="156">
        <v>0</v>
      </c>
      <c r="M33" s="163"/>
    </row>
    <row r="34" spans="1:13">
      <c r="A34" s="155" t="s">
        <v>391</v>
      </c>
      <c r="B34" s="158">
        <v>271498</v>
      </c>
      <c r="C34" s="157">
        <f>B34/B36</f>
        <v>4.5542751548766731E-3</v>
      </c>
      <c r="D34" s="158">
        <v>271498</v>
      </c>
      <c r="E34" s="157">
        <f>D34/D36</f>
        <v>4.7888361214722336E-3</v>
      </c>
      <c r="F34" s="158">
        <v>271498</v>
      </c>
      <c r="G34" s="159">
        <f>F34/F36</f>
        <v>4.8567418146811814E-3</v>
      </c>
      <c r="H34" s="156">
        <v>0</v>
      </c>
      <c r="I34" s="159">
        <f>H34/H36</f>
        <v>0</v>
      </c>
      <c r="J34" s="156">
        <v>0</v>
      </c>
      <c r="M34" s="163"/>
    </row>
    <row r="35" spans="1:13">
      <c r="A35" s="155" t="s">
        <v>392</v>
      </c>
      <c r="B35" s="158">
        <v>194000</v>
      </c>
      <c r="C35" s="157">
        <f>B35/B36</f>
        <v>3.2542758327725233E-3</v>
      </c>
      <c r="D35" s="158"/>
      <c r="E35" s="157"/>
      <c r="F35" s="158"/>
      <c r="G35" s="159"/>
      <c r="H35" s="156"/>
      <c r="I35" s="159"/>
      <c r="J35" s="156"/>
      <c r="M35" s="163"/>
    </row>
    <row r="36" spans="1:13">
      <c r="A36" s="164" t="s">
        <v>393</v>
      </c>
      <c r="B36" s="165">
        <f>SUM(B5:B35)</f>
        <v>59613877.24000001</v>
      </c>
      <c r="C36" s="166">
        <f>SUM(C5:C35)</f>
        <v>0.99999999999999989</v>
      </c>
      <c r="D36" s="156">
        <f>SUM(D5:D34)</f>
        <v>56693942.560000002</v>
      </c>
      <c r="E36" s="159">
        <f>SUM(E5:E34)</f>
        <v>1</v>
      </c>
      <c r="F36" s="156">
        <f>SUM(F5:F35)</f>
        <v>55901262.689999998</v>
      </c>
      <c r="G36" s="167">
        <f>SUM(G5:G35)</f>
        <v>1</v>
      </c>
      <c r="H36" s="156">
        <f>SUM(H5:H35)</f>
        <v>55656453.689999998</v>
      </c>
      <c r="I36" s="167">
        <f>SUM(I5:I35)</f>
        <v>0.99999999999999989</v>
      </c>
      <c r="J36" s="156">
        <f>SUM(J5:J35)</f>
        <v>49634133.689999998</v>
      </c>
    </row>
  </sheetData>
  <mergeCells count="6">
    <mergeCell ref="A1:J1"/>
    <mergeCell ref="A2:A3"/>
    <mergeCell ref="B2:C2"/>
    <mergeCell ref="D2:E2"/>
    <mergeCell ref="F2:G2"/>
    <mergeCell ref="H2:I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8571-3092-41CD-BA10-8D5C330CA778}">
  <dimension ref="A1:K14"/>
  <sheetViews>
    <sheetView workbookViewId="0">
      <selection activeCell="F17" sqref="F17"/>
    </sheetView>
  </sheetViews>
  <sheetFormatPr baseColWidth="10" defaultColWidth="11.42578125" defaultRowHeight="15"/>
  <cols>
    <col min="1" max="1" width="3" customWidth="1"/>
    <col min="2" max="2" width="17.7109375" customWidth="1"/>
    <col min="3" max="3" width="15" customWidth="1"/>
    <col min="4" max="4" width="40.7109375" customWidth="1"/>
    <col min="5" max="5" width="21" customWidth="1"/>
    <col min="6" max="6" width="14" customWidth="1"/>
    <col min="7" max="7" width="13.28515625" customWidth="1"/>
    <col min="8" max="8" width="13.7109375" customWidth="1"/>
    <col min="9" max="9" width="9.5703125" customWidth="1"/>
  </cols>
  <sheetData>
    <row r="1" spans="1:11" s="57" customFormat="1" ht="22.5">
      <c r="A1" s="89"/>
      <c r="B1" s="288" t="s">
        <v>0</v>
      </c>
      <c r="C1" s="288"/>
      <c r="D1" s="288"/>
      <c r="E1" s="288"/>
      <c r="F1" s="288"/>
      <c r="G1" s="288"/>
      <c r="H1" s="288"/>
      <c r="I1" s="288"/>
      <c r="J1" s="89"/>
      <c r="K1" s="89"/>
    </row>
    <row r="2" spans="1:11" s="57" customFormat="1" ht="15.75" customHeight="1">
      <c r="A2" s="89"/>
      <c r="B2" s="266" t="s">
        <v>394</v>
      </c>
      <c r="C2" s="266"/>
      <c r="D2" s="266"/>
      <c r="E2" s="266"/>
      <c r="F2" s="266"/>
      <c r="G2" s="266"/>
      <c r="H2" s="266"/>
      <c r="I2" s="266"/>
      <c r="J2" s="89"/>
      <c r="K2" s="89"/>
    </row>
    <row r="3" spans="1:11" s="3" customFormat="1" ht="13.5">
      <c r="A3" s="116"/>
      <c r="B3" s="168" t="s">
        <v>2</v>
      </c>
      <c r="C3" s="62" t="s">
        <v>323</v>
      </c>
      <c r="D3" s="62" t="s">
        <v>178</v>
      </c>
      <c r="E3" s="62" t="s">
        <v>395</v>
      </c>
      <c r="F3" s="62" t="s">
        <v>324</v>
      </c>
      <c r="G3" s="62" t="s">
        <v>326</v>
      </c>
      <c r="H3" s="62" t="s">
        <v>327</v>
      </c>
      <c r="I3" s="62" t="s">
        <v>182</v>
      </c>
    </row>
    <row r="4" spans="1:11" s="44" customFormat="1" ht="13.5">
      <c r="A4" s="235"/>
      <c r="B4" s="299"/>
      <c r="C4" s="299"/>
      <c r="D4" s="299"/>
      <c r="E4" s="299"/>
      <c r="F4" s="299"/>
      <c r="G4" s="299"/>
      <c r="H4" s="299"/>
      <c r="I4" s="299"/>
      <c r="J4" s="89"/>
      <c r="K4" s="89"/>
    </row>
    <row r="5" spans="1:11" s="23" customFormat="1" ht="14.25">
      <c r="A5" s="222">
        <v>1</v>
      </c>
      <c r="B5" s="218" t="s">
        <v>13</v>
      </c>
      <c r="C5" s="218" t="s">
        <v>396</v>
      </c>
      <c r="D5" s="218" t="s">
        <v>397</v>
      </c>
      <c r="E5" s="99"/>
      <c r="F5" s="210" t="s">
        <v>313</v>
      </c>
      <c r="G5" s="212">
        <f>H5/10.764</f>
        <v>12094.017094017096</v>
      </c>
      <c r="H5" s="212">
        <v>130180</v>
      </c>
      <c r="I5" s="169">
        <v>2021</v>
      </c>
      <c r="J5" s="121"/>
      <c r="K5" s="122"/>
    </row>
    <row r="6" spans="1:11" s="23" customFormat="1" ht="13.5">
      <c r="A6" s="222">
        <v>2</v>
      </c>
      <c r="B6" s="211" t="s">
        <v>13</v>
      </c>
      <c r="C6" s="110" t="s">
        <v>396</v>
      </c>
      <c r="D6" s="224" t="s">
        <v>397</v>
      </c>
      <c r="E6" s="211"/>
      <c r="F6" s="210" t="s">
        <v>398</v>
      </c>
      <c r="G6" s="212">
        <v>14901</v>
      </c>
      <c r="H6" s="212">
        <f>G6*10.764</f>
        <v>160394.364</v>
      </c>
      <c r="I6" s="169">
        <v>2021</v>
      </c>
      <c r="J6" s="121"/>
      <c r="K6" s="122"/>
    </row>
    <row r="7" spans="1:11" s="23" customFormat="1" ht="13.5">
      <c r="A7" s="222">
        <v>3</v>
      </c>
      <c r="B7" s="213" t="s">
        <v>13</v>
      </c>
      <c r="C7" s="218" t="s">
        <v>396</v>
      </c>
      <c r="D7" s="218" t="s">
        <v>397</v>
      </c>
      <c r="E7" s="215"/>
      <c r="F7" s="217" t="s">
        <v>399</v>
      </c>
      <c r="G7" s="215">
        <v>14901</v>
      </c>
      <c r="H7" s="215">
        <f>G7*10.764</f>
        <v>160394.364</v>
      </c>
      <c r="I7" s="169">
        <v>2021</v>
      </c>
      <c r="J7" s="214"/>
      <c r="K7" s="214"/>
    </row>
    <row r="8" spans="1:11" s="23" customFormat="1" ht="13.5">
      <c r="A8" s="222">
        <v>4</v>
      </c>
      <c r="B8" s="213" t="s">
        <v>13</v>
      </c>
      <c r="C8" s="218" t="s">
        <v>396</v>
      </c>
      <c r="D8" s="218" t="s">
        <v>397</v>
      </c>
      <c r="E8" s="215"/>
      <c r="F8" s="217" t="s">
        <v>400</v>
      </c>
      <c r="G8" s="215">
        <v>3295</v>
      </c>
      <c r="H8" s="215">
        <f>G8*10.764</f>
        <v>35467.379999999997</v>
      </c>
      <c r="I8" s="169">
        <v>2021</v>
      </c>
      <c r="J8" s="214"/>
      <c r="K8" s="214"/>
    </row>
    <row r="9" spans="1:11" s="23" customFormat="1" ht="13.5">
      <c r="A9" s="222">
        <v>5</v>
      </c>
      <c r="B9" s="213" t="s">
        <v>13</v>
      </c>
      <c r="C9" s="218" t="s">
        <v>396</v>
      </c>
      <c r="D9" s="218" t="s">
        <v>397</v>
      </c>
      <c r="E9" s="215"/>
      <c r="F9" s="217" t="s">
        <v>401</v>
      </c>
      <c r="G9" s="215">
        <v>10443</v>
      </c>
      <c r="H9" s="215">
        <f>G9*10.764</f>
        <v>112408.45199999999</v>
      </c>
      <c r="I9" s="169">
        <v>2021</v>
      </c>
      <c r="J9" s="214"/>
      <c r="K9" s="214"/>
    </row>
    <row r="10" spans="1:11" s="23" customFormat="1" ht="13.5">
      <c r="A10" s="222">
        <v>7</v>
      </c>
      <c r="B10" s="213" t="s">
        <v>13</v>
      </c>
      <c r="C10" s="218" t="s">
        <v>387</v>
      </c>
      <c r="D10" s="218" t="s">
        <v>19</v>
      </c>
      <c r="E10" s="215">
        <v>3.23</v>
      </c>
      <c r="F10" s="217" t="s">
        <v>460</v>
      </c>
      <c r="G10" s="215">
        <f>H10/10.764</f>
        <v>16096.060943887032</v>
      </c>
      <c r="H10" s="215">
        <v>173258</v>
      </c>
      <c r="I10" s="169">
        <v>2021</v>
      </c>
      <c r="J10" s="214"/>
      <c r="K10" s="214"/>
    </row>
    <row r="11" spans="1:11" s="214" customFormat="1" ht="13.5">
      <c r="A11" s="222">
        <v>8</v>
      </c>
      <c r="B11" s="213" t="s">
        <v>13</v>
      </c>
      <c r="C11" s="218" t="s">
        <v>387</v>
      </c>
      <c r="D11" s="218" t="s">
        <v>19</v>
      </c>
      <c r="E11" s="215"/>
      <c r="F11" s="217" t="s">
        <v>439</v>
      </c>
      <c r="G11" s="215">
        <f>H11/10.764</f>
        <v>13006.317354143443</v>
      </c>
      <c r="H11" s="215">
        <v>140000</v>
      </c>
      <c r="I11" s="169">
        <v>2021</v>
      </c>
    </row>
    <row r="12" spans="1:11" s="23" customFormat="1" ht="13.5">
      <c r="A12" s="222">
        <v>9</v>
      </c>
      <c r="B12" s="213" t="s">
        <v>173</v>
      </c>
      <c r="C12" s="218" t="s">
        <v>350</v>
      </c>
      <c r="D12" s="218" t="s">
        <v>402</v>
      </c>
      <c r="E12" s="215" t="s">
        <v>403</v>
      </c>
      <c r="F12" s="217"/>
      <c r="G12" s="215"/>
      <c r="H12" s="215"/>
      <c r="I12" s="97">
        <v>2021</v>
      </c>
      <c r="J12" s="214"/>
      <c r="K12" s="214"/>
    </row>
    <row r="13" spans="1:11" s="214" customFormat="1" ht="13.5">
      <c r="A13" s="222">
        <v>10</v>
      </c>
      <c r="B13" s="213" t="s">
        <v>137</v>
      </c>
      <c r="C13" s="218" t="s">
        <v>315</v>
      </c>
      <c r="D13" s="218" t="s">
        <v>277</v>
      </c>
      <c r="E13" s="215"/>
      <c r="F13" s="217" t="s">
        <v>90</v>
      </c>
      <c r="G13" s="215">
        <f>H13/10.764</f>
        <v>13377.926421404683</v>
      </c>
      <c r="H13" s="215">
        <v>144000</v>
      </c>
      <c r="I13" s="97">
        <v>2021</v>
      </c>
    </row>
    <row r="14" spans="1:11" s="131" customFormat="1" ht="18">
      <c r="A14" s="170"/>
      <c r="B14" s="143"/>
      <c r="C14" s="143"/>
      <c r="D14" s="144"/>
      <c r="E14" s="145"/>
      <c r="F14" s="144" t="s">
        <v>84</v>
      </c>
      <c r="G14" s="145">
        <f>SUM(G5:G13)</f>
        <v>98114.321813452247</v>
      </c>
      <c r="H14" s="145">
        <f>SUM(H5:H13)</f>
        <v>1056102.56</v>
      </c>
      <c r="I14" s="171"/>
      <c r="J14" s="130"/>
      <c r="K14" s="130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D6A72E992D114C81A6EC0B8C99BA69" ma:contentTypeVersion="9" ma:contentTypeDescription="Crear nuevo documento." ma:contentTypeScope="" ma:versionID="e5157870e3463e016f23ba6f4e7e59b8">
  <xsd:schema xmlns:xsd="http://www.w3.org/2001/XMLSchema" xmlns:xs="http://www.w3.org/2001/XMLSchema" xmlns:p="http://schemas.microsoft.com/office/2006/metadata/properties" xmlns:ns2="3edea6fe-52b8-4667-bb86-b2155c8c67e6" targetNamespace="http://schemas.microsoft.com/office/2006/metadata/properties" ma:root="true" ma:fieldsID="f2c293484daf858439287c9bd1601d81" ns2:_="">
    <xsd:import namespace="3edea6fe-52b8-4667-bb86-b2155c8c6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ea6fe-52b8-4667-bb86-b2155c8c67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79F4E2-1ACA-484F-A7C5-313A7F15004D}">
  <ds:schemaRefs>
    <ds:schemaRef ds:uri="http://www.w3.org/XML/1998/namespace"/>
    <ds:schemaRef ds:uri="3edea6fe-52b8-4667-bb86-b2155c8c67e6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3729921-73BA-4051-BB08-70876181A4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97C41-DFD0-405F-86DD-5979EBC736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DONE DEALS</vt:lpstr>
      <vt:lpstr>AVAILABLE</vt:lpstr>
      <vt:lpstr>UNDERCONSTRUCTION</vt:lpstr>
      <vt:lpstr>PRIVATE OWNERS</vt:lpstr>
      <vt:lpstr>LAND</vt:lpstr>
      <vt:lpstr>MARKET SHARE</vt:lpstr>
      <vt:lpstr>PROYECTOS FUTUROS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Enríquez Guajardo</dc:creator>
  <cp:keywords/>
  <dc:description/>
  <cp:lastModifiedBy>Alejandra Enríquez Guajardo</cp:lastModifiedBy>
  <cp:revision/>
  <dcterms:created xsi:type="dcterms:W3CDTF">2019-02-20T18:21:22Z</dcterms:created>
  <dcterms:modified xsi:type="dcterms:W3CDTF">2021-04-19T16:15:37Z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0x010100F6D6A72E992D114C81A6EC0B8C99BA69</vt:lpwstr>
  </property>
</Properties>
</file>